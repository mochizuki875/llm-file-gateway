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_rels/sheet3.xml.rels" ContentType="application/vnd.openxmlformats-package.relationships+xml"/>
  <Override PartName="/xl/worksheets/_rels/sheet2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_rels/drawing2.xml.rels" ContentType="application/vnd.openxmlformats-package.relationship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600" firstSheet="0" activeTab="0"/>
  </bookViews>
  <sheets>
    <sheet name="Monthly Cash Flow" sheetId="1" state="visible" r:id="rId2"/>
    <sheet name="Annual Summary" sheetId="2" state="visible" r:id="rId3"/>
    <sheet name="Balance Sheet &amp; Goals" sheetId="3" state="visible" r:id="rId4"/>
  </sheets>
  <calcPr iterateCount="100" refMode="A1" iterate="false" iterateDelta="0.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<sst xmlns="http://schemas.openxmlformats.org/spreadsheetml/2006/main" count="176" uniqueCount="141">
  <si>
    <t xml:space="preserve">Fictional Household Monthly Cash Flow</t>
  </si>
  <si>
    <t xml:space="preserve">Category</t>
  </si>
  <si>
    <t xml:space="preserve">Jan</t>
  </si>
  <si>
    <t xml:space="preserve">Feb</t>
  </si>
  <si>
    <t xml:space="preserve">Mar</t>
  </si>
  <si>
    <t xml:space="preserve">Apr</t>
  </si>
  <si>
    <t xml:space="preserve">May</t>
  </si>
  <si>
    <t xml:space="preserve">Jun</t>
  </si>
  <si>
    <t xml:space="preserve">Jul</t>
  </si>
  <si>
    <t xml:space="preserve">Aug</t>
  </si>
  <si>
    <t xml:space="preserve">Sep</t>
  </si>
  <si>
    <t xml:space="preserve">Oct</t>
  </si>
  <si>
    <t xml:space="preserve">Nov</t>
  </si>
  <si>
    <t xml:space="preserve">Dec</t>
  </si>
  <si>
    <t xml:space="preserve">Annual Total</t>
  </si>
  <si>
    <t xml:space="preserve">INCOME</t>
  </si>
  <si>
    <t xml:space="preserve">Primary Salary</t>
  </si>
  <si>
    <t xml:space="preserve">Spouse Salary</t>
  </si>
  <si>
    <t xml:space="preserve">Annual Bonus</t>
  </si>
  <si>
    <t xml:space="preserve">Freelance / Side Income</t>
  </si>
  <si>
    <t xml:space="preserve">Interest &amp; Other Income</t>
  </si>
  <si>
    <t xml:space="preserve">Total Income</t>
  </si>
  <si>
    <t xml:space="preserve">ESSENTIAL EXPENSES</t>
  </si>
  <si>
    <t xml:space="preserve">Mortgage</t>
  </si>
  <si>
    <t xml:space="preserve">Property Tax / HOA Reserve</t>
  </si>
  <si>
    <t xml:space="preserve">Utilities</t>
  </si>
  <si>
    <t xml:space="preserve">Groceries</t>
  </si>
  <si>
    <t xml:space="preserve">Transportation</t>
  </si>
  <si>
    <t xml:space="preserve">Insurance</t>
  </si>
  <si>
    <t xml:space="preserve">Childcare / School</t>
  </si>
  <si>
    <t xml:space="preserve">Medical / Pharmacy</t>
  </si>
  <si>
    <t xml:space="preserve">Internet / Mobile</t>
  </si>
  <si>
    <t xml:space="preserve">Total Essential Expenses</t>
  </si>
  <si>
    <t xml:space="preserve">DISCRETIONARY EXPENSES</t>
  </si>
  <si>
    <t xml:space="preserve">Dining Out</t>
  </si>
  <si>
    <t xml:space="preserve">Entertainment</t>
  </si>
  <si>
    <t xml:space="preserve">Clothing</t>
  </si>
  <si>
    <t xml:space="preserve">Travel / Vacation</t>
  </si>
  <si>
    <t xml:space="preserve">Subscriptions</t>
  </si>
  <si>
    <t xml:space="preserve">Gifts / Donations</t>
  </si>
  <si>
    <t xml:space="preserve">Home Maintenance</t>
  </si>
  <si>
    <t xml:space="preserve">Total Discretionary Expenses</t>
  </si>
  <si>
    <t xml:space="preserve">SAVINGS &amp; DEBT PAYDOWN</t>
  </si>
  <si>
    <t xml:space="preserve">Retirement Contributions</t>
  </si>
  <si>
    <t xml:space="preserve">Education Fund</t>
  </si>
  <si>
    <t xml:space="preserve">Emergency Fund Contribution</t>
  </si>
  <si>
    <t xml:space="preserve">Extra Mortgage Principal</t>
  </si>
  <si>
    <t xml:space="preserve">Car Loan Payment</t>
  </si>
  <si>
    <t xml:space="preserve">Total Savings &amp; Debt Paydown</t>
  </si>
  <si>
    <t xml:space="preserve">Total Outflows</t>
  </si>
  <si>
    <t xml:space="preserve">Net Cash Flow</t>
  </si>
  <si>
    <t xml:space="preserve">Beginning Cash Balance</t>
  </si>
  <si>
    <t xml:space="preserve">Ending Cash Balance</t>
  </si>
  <si>
    <t xml:space="preserve">-</t>
  </si>
  <si>
    <t xml:space="preserve">Annual Household Financial Summary</t>
  </si>
  <si>
    <t xml:space="preserve">Key Metric</t>
  </si>
  <si>
    <t xml:space="preserve">Value</t>
  </si>
  <si>
    <t xml:space="preserve">Benchmark / Target</t>
  </si>
  <si>
    <t xml:space="preserve">Status</t>
  </si>
  <si>
    <t xml:space="preserve">Essential Expenses</t>
  </si>
  <si>
    <t xml:space="preserve">Discretionary Expenses</t>
  </si>
  <si>
    <t xml:space="preserve">Savings &amp; Debt Paydown</t>
  </si>
  <si>
    <t xml:space="preserve">Net Annual Cash Flow</t>
  </si>
  <si>
    <t xml:space="preserve">Savings Rate</t>
  </si>
  <si>
    <t xml:space="preserve">Housing Cost Ratio</t>
  </si>
  <si>
    <t xml:space="preserve">Emergency Fund Coverage</t>
  </si>
  <si>
    <t xml:space="preserve">Debt-to-Income Ratio</t>
  </si>
  <si>
    <t xml:space="preserve">Annual Category</t>
  </si>
  <si>
    <t xml:space="preserve">Amount</t>
  </si>
  <si>
    <t xml:space="preserve">% of Income</t>
  </si>
  <si>
    <t xml:space="preserve">Notes</t>
  </si>
  <si>
    <t xml:space="preserve">Housing</t>
  </si>
  <si>
    <t xml:space="preserve">Mortgage plus property/HOA reserve</t>
  </si>
  <si>
    <t xml:space="preserve">Food</t>
  </si>
  <si>
    <t xml:space="preserve">Groceries plus dining out</t>
  </si>
  <si>
    <t xml:space="preserve">Operating costs plus car loan</t>
  </si>
  <si>
    <t xml:space="preserve">Childcare and school-related costs</t>
  </si>
  <si>
    <t xml:space="preserve">Healthcare &amp; Insurance</t>
  </si>
  <si>
    <t xml:space="preserve">Insurance and medical</t>
  </si>
  <si>
    <t xml:space="preserve">Lifestyle / Discretionary</t>
  </si>
  <si>
    <t xml:space="preserve">Dining, travel, entertainment, etc.</t>
  </si>
  <si>
    <t xml:space="preserve">Savings &amp; Investments</t>
  </si>
  <si>
    <t xml:space="preserve">Retirement, education, emergency fund</t>
  </si>
  <si>
    <t xml:space="preserve">Extra Debt Paydown</t>
  </si>
  <si>
    <t xml:space="preserve">Extra mortgage principal and car loan</t>
  </si>
  <si>
    <t xml:space="preserve">Household Balance Sheet, Debt Schedule &amp; Financial Goals</t>
  </si>
  <si>
    <t xml:space="preserve">Assumption</t>
  </si>
  <si>
    <t xml:space="preserve">Unit</t>
  </si>
  <si>
    <t xml:space="preserve">Description</t>
  </si>
  <si>
    <t xml:space="preserve">Month</t>
  </si>
  <si>
    <t xml:space="preserve">Cash</t>
  </si>
  <si>
    <t xml:space="preserve">Retirement</t>
  </si>
  <si>
    <t xml:space="preserve">Education</t>
  </si>
  <si>
    <t xml:space="preserve">Mortgage Debt</t>
  </si>
  <si>
    <t xml:space="preserve">Car Debt</t>
  </si>
  <si>
    <t xml:space="preserve">Net Worth</t>
  </si>
  <si>
    <t xml:space="preserve">Goal</t>
  </si>
  <si>
    <t xml:space="preserve">Variance</t>
  </si>
  <si>
    <t xml:space="preserve">Home Market Value</t>
  </si>
  <si>
    <t xml:space="preserve">$</t>
  </si>
  <si>
    <t xml:space="preserve">Estimated year-end market value</t>
  </si>
  <si>
    <t xml:space="preserve">Mortgage Balance - Start</t>
  </si>
  <si>
    <t xml:space="preserve">Opening principal balance</t>
  </si>
  <si>
    <t xml:space="preserve">Mortgage Interest Rate</t>
  </si>
  <si>
    <t xml:space="preserve">%</t>
  </si>
  <si>
    <t xml:space="preserve">Nominal annual rate</t>
  </si>
  <si>
    <t xml:space="preserve">Car Loan Balance - Start</t>
  </si>
  <si>
    <t xml:space="preserve">Car Loan Interest Rate</t>
  </si>
  <si>
    <t xml:space="preserve">Retirement Account - Start</t>
  </si>
  <si>
    <t xml:space="preserve">Opening investment balance</t>
  </si>
  <si>
    <t xml:space="preserve">Brokerage Account - Start</t>
  </si>
  <si>
    <t xml:space="preserve">Education Fund - Start</t>
  </si>
  <si>
    <t xml:space="preserve">Cash / Emergency Fund - Start</t>
  </si>
  <si>
    <t xml:space="preserve">Opening cash balance</t>
  </si>
  <si>
    <t xml:space="preserve">Investment Growth Assumption</t>
  </si>
  <si>
    <t xml:space="preserve">Simplified annual return assumption</t>
  </si>
  <si>
    <t xml:space="preserve">Year-End Balance Sheet</t>
  </si>
  <si>
    <t xml:space="preserve">Calculation</t>
  </si>
  <si>
    <t xml:space="preserve">Cash &amp; Emergency Fund</t>
  </si>
  <si>
    <t xml:space="preserve">Ending cash from monthly cash flow</t>
  </si>
  <si>
    <t xml:space="preserve">Retirement Accounts</t>
  </si>
  <si>
    <t xml:space="preserve">Start balance + growth + contributions</t>
  </si>
  <si>
    <t xml:space="preserve">Brokerage Account</t>
  </si>
  <si>
    <t xml:space="preserve">Start balance + assumed growth</t>
  </si>
  <si>
    <t xml:space="preserve">Home Value</t>
  </si>
  <si>
    <t xml:space="preserve">Assumed year-end market value</t>
  </si>
  <si>
    <t xml:space="preserve">Total Assets</t>
  </si>
  <si>
    <t xml:space="preserve">Sum of assets</t>
  </si>
  <si>
    <t xml:space="preserve">Mortgage Balance</t>
  </si>
  <si>
    <t xml:space="preserve">Simplified principal reduction estimate</t>
  </si>
  <si>
    <t xml:space="preserve">Car Loan Balance</t>
  </si>
  <si>
    <t xml:space="preserve">Total Liabilities</t>
  </si>
  <si>
    <t xml:space="preserve">Sum of liabilities</t>
  </si>
  <si>
    <t xml:space="preserve">Assets less liabilities</t>
  </si>
  <si>
    <t xml:space="preserve">Financial Goal</t>
  </si>
  <si>
    <t xml:space="preserve">Target</t>
  </si>
  <si>
    <t xml:space="preserve">Current / Projected</t>
  </si>
  <si>
    <t xml:space="preserve">Maintain 6 months of essential expenses</t>
  </si>
  <si>
    <t xml:space="preserve">Reach $150,000 net worth</t>
  </si>
  <si>
    <t xml:space="preserve">Keep discretionary spending below 12% of income</t>
  </si>
  <si>
    <t xml:space="preserve">Save at least 20% of gross household income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</si>
</sst>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\$#,##0;[RED]&quot;($&quot;#,##0\);\-"/>
    <numFmt numFmtId="166" formatCode="0.0%;[RED]\(0.0%\);\-"/>
    <numFmt numFmtId="167" formatCode="0.0\x"/>
    <numFmt numFmtId="168" formatCode="General"/>
  </numFmts>
  <fonts count="14">
    <font>
      <sz val="10"/>
      <name val="Arial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1"/>
      <name val="Calibri"/>
      <family val="0"/>
      <charset val="1"/>
    </font>
    <font>
      <b val="true"/>
      <sz val="16"/>
      <color rgb="FFFFFFFF"/>
      <name val="Calibri"/>
      <family val="0"/>
      <charset val="1"/>
    </font>
    <font>
      <b val="true"/>
      <sz val="11"/>
      <color rgb="FFFFFFFF"/>
      <name val="Calibri"/>
      <family val="0"/>
      <charset val="1"/>
    </font>
    <font>
      <b val="true"/>
      <sz val="11"/>
      <color rgb="FF1F1F1F"/>
      <name val="Calibri"/>
      <family val="0"/>
      <charset val="1"/>
    </font>
    <font>
      <sz val="11"/>
      <color rgb="FF0000FF"/>
      <name val="Calibri"/>
      <family val="0"/>
      <charset val="1"/>
    </font>
    <font>
      <sz val="11"/>
      <color rgb="FF000000"/>
      <name val="Calibri"/>
      <family val="0"/>
      <charset val="1"/>
    </font>
    <font>
      <b val="true"/>
      <sz val="11"/>
      <color rgb="FF000000"/>
      <name val="Calibri"/>
      <family val="0"/>
      <charset val="1"/>
    </font>
    <font>
      <sz val="11"/>
      <color rgb="FF008000"/>
      <name val="Calibri"/>
      <family val="0"/>
      <charset val="1"/>
    </font>
    <font>
      <b val="true"/>
      <sz val="18"/>
      <color rgb="FF000000"/>
      <name val="Calibri"/>
      <family val="2"/>
    </font>
    <font>
      <sz val="10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1F4E78"/>
        <bgColor rgb="FF125573"/>
      </patternFill>
    </fill>
    <fill>
      <patternFill patternType="solid">
        <fgColor rgb="FF4472C4"/>
        <bgColor rgb="FF666699"/>
      </patternFill>
    </fill>
    <fill>
      <patternFill patternType="solid">
        <fgColor rgb="FFD9EAF7"/>
        <bgColor rgb="FFD9EAD3"/>
      </patternFill>
    </fill>
  </fills>
  <borders count="1">
    <border diagonalUp="false" diagonalDown="false">
      <left/>
      <right/>
      <top/>
      <bottom/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1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0" xfId="2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6" fillId="3" borderId="0" xfId="2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7" fillId="4" borderId="0" xfId="20" applyFont="true" applyBorder="true" applyAlignment="true" applyProtection="false">
      <alignment horizontal="left" vertical="bottom" textRotation="0" wrapText="true" indent="0" shrinkToFit="false"/>
      <protection locked="true" hidden="false"/>
    </xf>
    <xf numFmtId="165" fontId="7" fillId="4" borderId="0" xfId="20" applyFont="true" applyBorder="true" applyAlignment="true" applyProtection="false">
      <alignment horizontal="left" vertical="bottom" textRotation="0" wrapText="true" indent="0" shrinkToFit="false"/>
      <protection locked="true" hidden="false"/>
    </xf>
    <xf numFmtId="164" fontId="4" fillId="0" borderId="0" xfId="2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5" fontId="8" fillId="0" borderId="0" xfId="2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5" fontId="9" fillId="0" borderId="0" xfId="2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10" fillId="0" borderId="0" xfId="2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5" fontId="10" fillId="0" borderId="0" xfId="2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5" fontId="4" fillId="0" borderId="0" xfId="2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5" fontId="11" fillId="0" borderId="0" xfId="2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6" fontId="11" fillId="0" borderId="0" xfId="2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6" fontId="8" fillId="0" borderId="0" xfId="2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7" fontId="11" fillId="0" borderId="0" xfId="2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7" fontId="8" fillId="0" borderId="0" xfId="2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8" fontId="11" fillId="0" borderId="0" xfId="2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8" fillId="0" borderId="0" xfId="2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6" fontId="4" fillId="0" borderId="0" xfId="20" applyFont="true" applyBorder="true" applyAlignment="true" applyProtection="false">
      <alignment horizontal="general" vertical="bottom" textRotation="0" wrapText="true" indent="0" shrinkToFit="false"/>
      <protection locked="true" hidden="false"/>
    </xf>
  </cellXfs>
  <cellStyles count="7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Normal" xfId="20"/>
  </cellStyles>
  <dxfs count="4">
    <dxf>
      <font>
        <color rgb="FF9C0006"/>
      </font>
      <fill>
        <patternFill>
          <bgColor rgb="FFF4CCCC"/>
        </patternFill>
      </fill>
    </dxf>
    <dxf>
      <font>
        <color rgb="FF274E13"/>
      </font>
      <fill>
        <patternFill>
          <bgColor rgb="FFD9EAD3"/>
        </patternFill>
      </fill>
    </dxf>
    <dxf>
      <font>
        <color rgb="FF274E13"/>
      </font>
      <fill>
        <patternFill>
          <bgColor rgb="FFD9EAD3"/>
        </patternFill>
      </fill>
    </dxf>
    <dxf>
      <font>
        <color rgb="FF274E13"/>
      </font>
      <fill>
        <patternFill>
          <bgColor rgb="FFD9EAD3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D8CBD"/>
      <rgbColor rgb="FFCCCCCC"/>
      <rgbColor rgb="FF8B8B8B"/>
      <rgbColor rgb="FF889E89"/>
      <rgbColor rgb="FF8E2682"/>
      <rgbColor rgb="FFFFFFCC"/>
      <rgbColor rgb="FFD9EAF7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156082"/>
      <rgbColor rgb="FF0000FF"/>
      <rgbColor rgb="FF00CCFF"/>
      <rgbColor rgb="FFCCFFFF"/>
      <rgbColor rgb="FFD9EAD3"/>
      <rgbColor rgb="FFFFFF99"/>
      <rgbColor rgb="FF87BADF"/>
      <rgbColor rgb="FFEEA18B"/>
      <rgbColor rgb="FFBB8AB4"/>
      <rgbColor rgb="FFF4CCCC"/>
      <rgbColor rgb="FF4472C4"/>
      <rgbColor rgb="FF33CCCC"/>
      <rgbColor rgb="FF99CC00"/>
      <rgbColor rgb="FFFFCC00"/>
      <rgbColor rgb="FFFF9900"/>
      <rgbColor rgb="FFCF642C"/>
      <rgbColor rgb="FF666699"/>
      <rgbColor rgb="FF889AAA"/>
      <rgbColor rgb="FF125573"/>
      <rgbColor rgb="FF459428"/>
      <rgbColor rgb="FF165F20"/>
      <rgbColor rgb="FF274E13"/>
      <rgbColor rgb="FF993300"/>
      <rgbColor rgb="FF993366"/>
      <rgbColor rgb="FF1F4E78"/>
      <rgbColor rgb="FF1F1F1F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sz="1800" spc="-1" strike="noStrike">
                <a:solidFill>
                  <a:srgbClr val="000000"/>
                </a:solidFill>
                <a:latin typeface="Calibri"/>
                <a:ea typeface="Calibri"/>
              </a:defRPr>
            </a:pPr>
            <a:r>
              <a:rPr b="1" sz="1800" spc="-1" strike="noStrike">
                <a:solidFill>
                  <a:srgbClr val="000000"/>
                </a:solidFill>
                <a:latin typeface="Calibri"/>
                <a:ea typeface="Calibri"/>
              </a:rPr>
              <a:t>Annual Spending &amp; Savings by Category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barChart>
        <c:barDir val="col"/>
        <c:grouping val="clustered"/>
        <c:varyColors val="0"/>
        <c:ser>
          <c:idx val="0"/>
          <c:order val="0"/>
          <c:tx>
            <c:strRef>
              <c:f>"Series 1"</c:f>
              <c:strCache>
                <c:ptCount val="1"/>
                <c:pt idx="0">
                  <c:v>Series 1</c:v>
                </c:pt>
              </c:strCache>
            </c:strRef>
          </c:tx>
          <c:spPr>
            <a:solidFill>
              <a:srgbClr val="156082"/>
            </a:solidFill>
            <a:ln w="0">
              <a:noFill/>
            </a:ln>
          </c:spPr>
          <c:invertIfNegative val="0"/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'Annual Summary'!$A$16:$A$23</c:f>
              <c:strCache>
                <c:ptCount val="8"/>
                <c:pt idx="0">
                  <c:v>Housing</c:v>
                </c:pt>
                <c:pt idx="1">
                  <c:v>Food</c:v>
                </c:pt>
                <c:pt idx="2">
                  <c:v>Transportation</c:v>
                </c:pt>
                <c:pt idx="3">
                  <c:v>Childcare / School</c:v>
                </c:pt>
                <c:pt idx="4">
                  <c:v>Healthcare &amp; Insurance</c:v>
                </c:pt>
                <c:pt idx="5">
                  <c:v>Lifestyle / Discretionary</c:v>
                </c:pt>
                <c:pt idx="6">
                  <c:v>Savings &amp; Investments</c:v>
                </c:pt>
                <c:pt idx="7">
                  <c:v>Extra Debt Paydown</c:v>
                </c:pt>
              </c:strCache>
            </c:strRef>
          </c:cat>
          <c:val>
            <c:numRef>
              <c:f>'Annual Summary'!$B$16:$B$23</c:f>
              <c:numCache>
                <c:formatCode>General</c:formatCode>
                <c:ptCount val="8"/>
                <c:pt idx="0">
                  <c:v>27240</c:v>
                </c:pt>
                <c:pt idx="1">
                  <c:v>6600</c:v>
                </c:pt>
                <c:pt idx="2">
                  <c:v>9020</c:v>
                </c:pt>
                <c:pt idx="3">
                  <c:v>3720</c:v>
                </c:pt>
                <c:pt idx="4">
                  <c:v>13180</c:v>
                </c:pt>
                <c:pt idx="5">
                  <c:v>15245</c:v>
                </c:pt>
                <c:pt idx="6">
                  <c:v>15000</c:v>
                </c:pt>
                <c:pt idx="7">
                  <c:v>7340</c:v>
                </c:pt>
              </c:numCache>
            </c:numRef>
          </c:val>
        </c:ser>
        <c:gapWidth val="150"/>
        <c:overlap val="0"/>
        <c:axId val="56002452"/>
        <c:axId val="9234054"/>
      </c:barChart>
      <c:catAx>
        <c:axId val="56002452"/>
        <c:scaling>
          <c:orientation val="minMax"/>
        </c:scaling>
        <c:delete val="0"/>
        <c:axPos val="b"/>
        <c:majorGridlines>
          <c:spPr>
            <a:ln w="9360">
              <a:solidFill>
                <a:srgbClr val="cccccc"/>
              </a:solidFill>
              <a:prstDash val="dash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ln w="12600">
            <a:solidFill>
              <a:srgbClr val="8b8b8b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  <a:ea typeface="Calibri"/>
              </a:defRPr>
            </a:pPr>
          </a:p>
        </c:txPr>
        <c:crossAx val="9234054"/>
        <c:crosses val="autoZero"/>
        <c:auto val="1"/>
        <c:lblAlgn val="ctr"/>
        <c:lblOffset val="100"/>
        <c:noMultiLvlLbl val="0"/>
      </c:catAx>
      <c:valAx>
        <c:axId val="9234054"/>
        <c:scaling>
          <c:orientation val="minMax"/>
        </c:scaling>
        <c:delete val="0"/>
        <c:axPos val="l"/>
        <c:majorGridlines>
          <c:spPr>
            <a:ln w="9360">
              <a:solidFill>
                <a:srgbClr val="cccccc"/>
              </a:solidFill>
              <a:prstDash val="dash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ln w="12600">
            <a:solidFill>
              <a:srgbClr val="8b8b8b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  <a:ea typeface="Calibri"/>
              </a:defRPr>
            </a:pPr>
          </a:p>
        </c:txPr>
        <c:crossAx val="56002452"/>
        <c:crosses val="autoZero"/>
        <c:crossBetween val="between"/>
      </c:valAx>
      <c:spPr>
        <a:noFill/>
        <a:ln w="0">
          <a:noFill/>
        </a:ln>
      </c:spPr>
    </c:plotArea>
    <c:plotVisOnly val="1"/>
    <c:dispBlanksAs val="zero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sz="1800" spc="-1" strike="noStrike">
                <a:solidFill>
                  <a:srgbClr val="000000"/>
                </a:solidFill>
                <a:latin typeface="Calibri"/>
                <a:ea typeface="Calibri"/>
              </a:defRPr>
            </a:pPr>
            <a:r>
              <a:rPr b="1" sz="1800" spc="-1" strike="noStrike">
                <a:solidFill>
                  <a:srgbClr val="000000"/>
                </a:solidFill>
                <a:latin typeface="Calibri"/>
                <a:ea typeface="Calibri"/>
              </a:rPr>
              <a:t>Monthly Net Cash Flow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ineChart>
        <c:grouping val="standard"/>
        <c:varyColors val="0"/>
        <c:ser>
          <c:idx val="0"/>
          <c:order val="0"/>
          <c:tx>
            <c:strRef>
              <c:f>"Series 1"</c:f>
              <c:strCache>
                <c:ptCount val="1"/>
                <c:pt idx="0">
                  <c:v>Series 1</c:v>
                </c:pt>
              </c:strCache>
            </c:strRef>
          </c:tx>
          <c:spPr>
            <a:solidFill>
              <a:srgbClr val="125573"/>
            </a:solidFill>
            <a:ln w="38160">
              <a:solidFill>
                <a:srgbClr val="125573"/>
              </a:solidFill>
              <a:round/>
            </a:ln>
          </c:spPr>
          <c:marker>
            <c:symbol val="none"/>
          </c:marker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'Monthly Cash Flow'!$B$43</c:f>
              <c:strCache>
                <c:ptCount val="1"/>
                <c:pt idx="0">
                  <c:v>$975</c:v>
                </c:pt>
              </c:strCache>
            </c:strRef>
          </c:cat>
          <c:val>
            <c:numRef>
              <c:f>'Monthly Cash Flow'!$C$43</c:f>
              <c:numCache>
                <c:formatCode>General</c:formatCode>
                <c:ptCount val="1"/>
                <c:pt idx="0">
                  <c:v>1265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"Series 2"</c:f>
              <c:strCache>
                <c:ptCount val="1"/>
                <c:pt idx="0">
                  <c:v>Series 2</c:v>
                </c:pt>
              </c:strCache>
            </c:strRef>
          </c:tx>
          <c:spPr>
            <a:solidFill>
              <a:srgbClr val="cf642c"/>
            </a:solidFill>
            <a:ln w="38160">
              <a:solidFill>
                <a:srgbClr val="cf642c"/>
              </a:solidFill>
              <a:round/>
            </a:ln>
          </c:spPr>
          <c:marker>
            <c:symbol val="none"/>
          </c:marker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'Monthly Cash Flow'!$B$43</c:f>
              <c:strCache>
                <c:ptCount val="1"/>
                <c:pt idx="0">
                  <c:v>$975</c:v>
                </c:pt>
              </c:strCache>
            </c:strRef>
          </c:cat>
          <c:val>
            <c:numRef>
              <c:f>'Monthly Cash Flow'!$D$43</c:f>
              <c:numCache>
                <c:formatCode>General</c:formatCode>
                <c:ptCount val="1"/>
                <c:pt idx="0">
                  <c:v>585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"Series 3"</c:f>
              <c:strCache>
                <c:ptCount val="1"/>
                <c:pt idx="0">
                  <c:v>Series 3</c:v>
                </c:pt>
              </c:strCache>
            </c:strRef>
          </c:tx>
          <c:spPr>
            <a:solidFill>
              <a:srgbClr val="165f20"/>
            </a:solidFill>
            <a:ln w="38160">
              <a:solidFill>
                <a:srgbClr val="165f20"/>
              </a:solidFill>
              <a:round/>
            </a:ln>
          </c:spPr>
          <c:marker>
            <c:symbol val="none"/>
          </c:marker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'Monthly Cash Flow'!$B$43</c:f>
              <c:strCache>
                <c:ptCount val="1"/>
                <c:pt idx="0">
                  <c:v>$975</c:v>
                </c:pt>
              </c:strCache>
            </c:strRef>
          </c:cat>
          <c:val>
            <c:numRef>
              <c:f>'Monthly Cash Flow'!$E$43</c:f>
              <c:numCache>
                <c:formatCode>General</c:formatCode>
                <c:ptCount val="1"/>
                <c:pt idx="0">
                  <c:v>1145</c:v>
                </c:pt>
              </c:numCache>
            </c:numRef>
          </c:val>
          <c:smooth val="1"/>
        </c:ser>
        <c:ser>
          <c:idx val="3"/>
          <c:order val="3"/>
          <c:tx>
            <c:strRef>
              <c:f>"Series 4"</c:f>
              <c:strCache>
                <c:ptCount val="1"/>
                <c:pt idx="0">
                  <c:v>Series 4</c:v>
                </c:pt>
              </c:strCache>
            </c:strRef>
          </c:tx>
          <c:spPr>
            <a:solidFill>
              <a:srgbClr val="0d8cbd"/>
            </a:solidFill>
            <a:ln w="38160">
              <a:solidFill>
                <a:srgbClr val="0d8cbd"/>
              </a:solidFill>
              <a:round/>
            </a:ln>
          </c:spPr>
          <c:marker>
            <c:symbol val="none"/>
          </c:marker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'Monthly Cash Flow'!$B$43</c:f>
              <c:strCache>
                <c:ptCount val="1"/>
                <c:pt idx="0">
                  <c:v>$975</c:v>
                </c:pt>
              </c:strCache>
            </c:strRef>
          </c:cat>
          <c:val>
            <c:numRef>
              <c:f>'Monthly Cash Flow'!$F$43</c:f>
              <c:numCache>
                <c:formatCode>General</c:formatCode>
                <c:ptCount val="1"/>
                <c:pt idx="0">
                  <c:v>860</c:v>
                </c:pt>
              </c:numCache>
            </c:numRef>
          </c:val>
          <c:smooth val="1"/>
        </c:ser>
        <c:ser>
          <c:idx val="4"/>
          <c:order val="4"/>
          <c:tx>
            <c:strRef>
              <c:f>"Series 5"</c:f>
              <c:strCache>
                <c:ptCount val="1"/>
                <c:pt idx="0">
                  <c:v>Series 5</c:v>
                </c:pt>
              </c:strCache>
            </c:strRef>
          </c:tx>
          <c:spPr>
            <a:solidFill>
              <a:srgbClr val="8e2682"/>
            </a:solidFill>
            <a:ln w="38160">
              <a:solidFill>
                <a:srgbClr val="8e2682"/>
              </a:solidFill>
              <a:round/>
            </a:ln>
          </c:spPr>
          <c:marker>
            <c:symbol val="none"/>
          </c:marker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'Monthly Cash Flow'!$B$43</c:f>
              <c:strCache>
                <c:ptCount val="1"/>
                <c:pt idx="0">
                  <c:v>$975</c:v>
                </c:pt>
              </c:strCache>
            </c:strRef>
          </c:cat>
          <c:val>
            <c:numRef>
              <c:f>'Monthly Cash Flow'!$G$43</c:f>
              <c:numCache>
                <c:formatCode>General</c:formatCode>
                <c:ptCount val="1"/>
                <c:pt idx="0">
                  <c:v>2310</c:v>
                </c:pt>
              </c:numCache>
            </c:numRef>
          </c:val>
          <c:smooth val="1"/>
        </c:ser>
        <c:ser>
          <c:idx val="5"/>
          <c:order val="5"/>
          <c:tx>
            <c:strRef>
              <c:f>"Series 6"</c:f>
              <c:strCache>
                <c:ptCount val="1"/>
                <c:pt idx="0">
                  <c:v>Series 6</c:v>
                </c:pt>
              </c:strCache>
            </c:strRef>
          </c:tx>
          <c:spPr>
            <a:solidFill>
              <a:srgbClr val="459428"/>
            </a:solidFill>
            <a:ln w="38160">
              <a:solidFill>
                <a:srgbClr val="459428"/>
              </a:solidFill>
              <a:round/>
            </a:ln>
          </c:spPr>
          <c:marker>
            <c:symbol val="none"/>
          </c:marker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'Monthly Cash Flow'!$B$43</c:f>
              <c:strCache>
                <c:ptCount val="1"/>
                <c:pt idx="0">
                  <c:v>$975</c:v>
                </c:pt>
              </c:strCache>
            </c:strRef>
          </c:cat>
          <c:val>
            <c:numRef>
              <c:f>'Monthly Cash Flow'!$H$43</c:f>
              <c:numCache>
                <c:formatCode>General</c:formatCode>
                <c:ptCount val="1"/>
                <c:pt idx="0">
                  <c:v>775</c:v>
                </c:pt>
              </c:numCache>
            </c:numRef>
          </c:val>
          <c:smooth val="1"/>
        </c:ser>
        <c:ser>
          <c:idx val="6"/>
          <c:order val="6"/>
          <c:tx>
            <c:strRef>
              <c:f>"Series 7"</c:f>
              <c:strCache>
                <c:ptCount val="1"/>
                <c:pt idx="0">
                  <c:v>Series 7</c:v>
                </c:pt>
              </c:strCache>
            </c:strRef>
          </c:tx>
          <c:spPr>
            <a:solidFill>
              <a:srgbClr val="889aaa"/>
            </a:solidFill>
            <a:ln w="38160">
              <a:solidFill>
                <a:srgbClr val="889aaa"/>
              </a:solidFill>
              <a:round/>
            </a:ln>
          </c:spPr>
          <c:marker>
            <c:symbol val="none"/>
          </c:marker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'Monthly Cash Flow'!$B$43</c:f>
              <c:strCache>
                <c:ptCount val="1"/>
                <c:pt idx="0">
                  <c:v>$975</c:v>
                </c:pt>
              </c:strCache>
            </c:strRef>
          </c:cat>
          <c:val>
            <c:numRef>
              <c:f>'Monthly Cash Flow'!$I$43</c:f>
              <c:numCache>
                <c:formatCode>General</c:formatCode>
                <c:ptCount val="1"/>
                <c:pt idx="0">
                  <c:v>1025</c:v>
                </c:pt>
              </c:numCache>
            </c:numRef>
          </c:val>
          <c:smooth val="1"/>
        </c:ser>
        <c:ser>
          <c:idx val="7"/>
          <c:order val="7"/>
          <c:tx>
            <c:strRef>
              <c:f>"Series 8"</c:f>
              <c:strCache>
                <c:ptCount val="1"/>
                <c:pt idx="0">
                  <c:v>Series 8</c:v>
                </c:pt>
              </c:strCache>
            </c:strRef>
          </c:tx>
          <c:spPr>
            <a:solidFill>
              <a:srgbClr val="eea18b"/>
            </a:solidFill>
            <a:ln w="38160">
              <a:solidFill>
                <a:srgbClr val="eea18b"/>
              </a:solidFill>
              <a:round/>
            </a:ln>
          </c:spPr>
          <c:marker>
            <c:symbol val="none"/>
          </c:marker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'Monthly Cash Flow'!$B$43</c:f>
              <c:strCache>
                <c:ptCount val="1"/>
                <c:pt idx="0">
                  <c:v>$975</c:v>
                </c:pt>
              </c:strCache>
            </c:strRef>
          </c:cat>
          <c:val>
            <c:numRef>
              <c:f>'Monthly Cash Flow'!$J$43</c:f>
              <c:numCache>
                <c:formatCode>General</c:formatCode>
                <c:ptCount val="1"/>
                <c:pt idx="0">
                  <c:v>885</c:v>
                </c:pt>
              </c:numCache>
            </c:numRef>
          </c:val>
          <c:smooth val="1"/>
        </c:ser>
        <c:ser>
          <c:idx val="8"/>
          <c:order val="8"/>
          <c:tx>
            <c:strRef>
              <c:f>"Series 9"</c:f>
              <c:strCache>
                <c:ptCount val="1"/>
                <c:pt idx="0">
                  <c:v>Series 9</c:v>
                </c:pt>
              </c:strCache>
            </c:strRef>
          </c:tx>
          <c:spPr>
            <a:solidFill>
              <a:srgbClr val="889e89"/>
            </a:solidFill>
            <a:ln w="38160">
              <a:solidFill>
                <a:srgbClr val="889e89"/>
              </a:solidFill>
              <a:round/>
            </a:ln>
          </c:spPr>
          <c:marker>
            <c:symbol val="none"/>
          </c:marker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'Monthly Cash Flow'!$B$43</c:f>
              <c:strCache>
                <c:ptCount val="1"/>
                <c:pt idx="0">
                  <c:v>$975</c:v>
                </c:pt>
              </c:strCache>
            </c:strRef>
          </c:cat>
          <c:val>
            <c:numRef>
              <c:f>'Monthly Cash Flow'!$K$43</c:f>
              <c:numCache>
                <c:formatCode>General</c:formatCode>
                <c:ptCount val="1"/>
                <c:pt idx="0">
                  <c:v>1080</c:v>
                </c:pt>
              </c:numCache>
            </c:numRef>
          </c:val>
          <c:smooth val="1"/>
        </c:ser>
        <c:ser>
          <c:idx val="9"/>
          <c:order val="9"/>
          <c:tx>
            <c:strRef>
              <c:f>"Series 10"</c:f>
              <c:strCache>
                <c:ptCount val="1"/>
                <c:pt idx="0">
                  <c:v>Series 10</c:v>
                </c:pt>
              </c:strCache>
            </c:strRef>
          </c:tx>
          <c:spPr>
            <a:solidFill>
              <a:srgbClr val="87badf"/>
            </a:solidFill>
            <a:ln w="38160">
              <a:solidFill>
                <a:srgbClr val="87badf"/>
              </a:solidFill>
              <a:round/>
            </a:ln>
          </c:spPr>
          <c:marker>
            <c:symbol val="none"/>
          </c:marker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'Monthly Cash Flow'!$B$43</c:f>
              <c:strCache>
                <c:ptCount val="1"/>
                <c:pt idx="0">
                  <c:v>$975</c:v>
                </c:pt>
              </c:strCache>
            </c:strRef>
          </c:cat>
          <c:val>
            <c:numRef>
              <c:f>'Monthly Cash Flow'!$L$43</c:f>
              <c:numCache>
                <c:formatCode>General</c:formatCode>
                <c:ptCount val="1"/>
                <c:pt idx="0">
                  <c:v>860</c:v>
                </c:pt>
              </c:numCache>
            </c:numRef>
          </c:val>
          <c:smooth val="1"/>
        </c:ser>
        <c:ser>
          <c:idx val="10"/>
          <c:order val="10"/>
          <c:tx>
            <c:strRef>
              <c:f>"Series 11"</c:f>
              <c:strCache>
                <c:ptCount val="1"/>
                <c:pt idx="0">
                  <c:v>Series 11</c:v>
                </c:pt>
              </c:strCache>
            </c:strRef>
          </c:tx>
          <c:spPr>
            <a:solidFill>
              <a:srgbClr val="bb8ab4"/>
            </a:solidFill>
            <a:ln w="38160">
              <a:solidFill>
                <a:srgbClr val="bb8ab4"/>
              </a:solidFill>
              <a:round/>
            </a:ln>
          </c:spPr>
          <c:marker>
            <c:symbol val="none"/>
          </c:marker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'Monthly Cash Flow'!$B$43</c:f>
              <c:strCache>
                <c:ptCount val="1"/>
                <c:pt idx="0">
                  <c:v>$975</c:v>
                </c:pt>
              </c:strCache>
            </c:strRef>
          </c:cat>
          <c:val>
            <c:numRef>
              <c:f>'Monthly Cash Flow'!$M$43</c:f>
              <c:numCache>
                <c:formatCode>General</c:formatCode>
                <c:ptCount val="1"/>
                <c:pt idx="0">
                  <c:v>2095</c:v>
                </c:pt>
              </c:numCache>
            </c:numRef>
          </c:val>
          <c:smooth val="1"/>
        </c:ser>
        <c:hiLowLines>
          <c:spPr>
            <a:ln w="0">
              <a:noFill/>
            </a:ln>
          </c:spPr>
        </c:hiLowLines>
        <c:marker val="0"/>
        <c:axId val="3830369"/>
        <c:axId val="64532447"/>
      </c:lineChart>
      <c:catAx>
        <c:axId val="3830369"/>
        <c:scaling>
          <c:orientation val="minMax"/>
        </c:scaling>
        <c:delete val="0"/>
        <c:axPos val="b"/>
        <c:majorGridlines>
          <c:spPr>
            <a:ln w="9360">
              <a:solidFill>
                <a:srgbClr val="cccccc"/>
              </a:solidFill>
              <a:prstDash val="dash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ln w="12600">
            <a:solidFill>
              <a:srgbClr val="8b8b8b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  <a:ea typeface="Calibri"/>
              </a:defRPr>
            </a:pPr>
          </a:p>
        </c:txPr>
        <c:crossAx val="64532447"/>
        <c:crosses val="autoZero"/>
        <c:auto val="1"/>
        <c:lblAlgn val="ctr"/>
        <c:lblOffset val="100"/>
        <c:noMultiLvlLbl val="0"/>
      </c:catAx>
      <c:valAx>
        <c:axId val="64532447"/>
        <c:scaling>
          <c:orientation val="minMax"/>
        </c:scaling>
        <c:delete val="0"/>
        <c:axPos val="l"/>
        <c:majorGridlines>
          <c:spPr>
            <a:ln w="9360">
              <a:solidFill>
                <a:srgbClr val="cccccc"/>
              </a:solidFill>
              <a:prstDash val="dash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ln w="12600">
            <a:solidFill>
              <a:srgbClr val="8b8b8b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  <a:ea typeface="Calibri"/>
              </a:defRPr>
            </a:pPr>
          </a:p>
        </c:txPr>
        <c:crossAx val="3830369"/>
        <c:crosses val="autoZero"/>
        <c:crossBetween val="between"/>
      </c:valAx>
      <c:spPr>
        <a:noFill/>
        <a:ln w="0">
          <a:noFill/>
        </a:ln>
      </c:spPr>
    </c:plotArea>
    <c:plotVisOnly val="1"/>
    <c:dispBlanksAs val="zero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sz="1800" spc="-1" strike="noStrike">
                <a:solidFill>
                  <a:srgbClr val="000000"/>
                </a:solidFill>
                <a:latin typeface="Calibri"/>
                <a:ea typeface="Calibri"/>
              </a:defRPr>
            </a:pPr>
            <a:r>
              <a:rPr b="1" sz="1800" spc="-1" strike="noStrike">
                <a:solidFill>
                  <a:srgbClr val="000000"/>
                </a:solidFill>
                <a:latin typeface="Calibri"/>
                <a:ea typeface="Calibri"/>
              </a:rPr>
              <a:t>Projected Net Worth vs. Goal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ineChart>
        <c:grouping val="standard"/>
        <c:varyColors val="0"/>
        <c:ser>
          <c:idx val="0"/>
          <c:order val="0"/>
          <c:tx>
            <c:strRef>
              <c:f>"Cash"</c:f>
              <c:strCache>
                <c:ptCount val="1"/>
                <c:pt idx="0">
                  <c:v>Cash</c:v>
                </c:pt>
              </c:strCache>
            </c:strRef>
          </c:tx>
          <c:spPr>
            <a:solidFill>
              <a:srgbClr val="125573"/>
            </a:solidFill>
            <a:ln w="38160">
              <a:solidFill>
                <a:srgbClr val="125573"/>
              </a:solidFill>
              <a:round/>
            </a:ln>
          </c:spPr>
          <c:marker>
            <c:symbol val="none"/>
          </c:marker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'Balance Sheet &amp; Goals'!$F$4:$F$15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'Balance Sheet &amp; Goals'!$G$4:$G$15</c:f>
              <c:numCache>
                <c:formatCode>General</c:formatCode>
                <c:ptCount val="12"/>
                <c:pt idx="0">
                  <c:v>12975</c:v>
                </c:pt>
                <c:pt idx="1">
                  <c:v>14240</c:v>
                </c:pt>
                <c:pt idx="2">
                  <c:v>14825</c:v>
                </c:pt>
                <c:pt idx="3">
                  <c:v>15970</c:v>
                </c:pt>
                <c:pt idx="4">
                  <c:v>16830</c:v>
                </c:pt>
                <c:pt idx="5">
                  <c:v>19140</c:v>
                </c:pt>
                <c:pt idx="6">
                  <c:v>19915</c:v>
                </c:pt>
                <c:pt idx="7">
                  <c:v>20940</c:v>
                </c:pt>
                <c:pt idx="8">
                  <c:v>21825</c:v>
                </c:pt>
                <c:pt idx="9">
                  <c:v>22905</c:v>
                </c:pt>
                <c:pt idx="10">
                  <c:v>23765</c:v>
                </c:pt>
                <c:pt idx="11">
                  <c:v>25860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"Retirement"</c:f>
              <c:strCache>
                <c:ptCount val="1"/>
                <c:pt idx="0">
                  <c:v>Retirement</c:v>
                </c:pt>
              </c:strCache>
            </c:strRef>
          </c:tx>
          <c:spPr>
            <a:solidFill>
              <a:srgbClr val="cf642c"/>
            </a:solidFill>
            <a:ln w="38160">
              <a:solidFill>
                <a:srgbClr val="cf642c"/>
              </a:solidFill>
              <a:round/>
            </a:ln>
          </c:spPr>
          <c:marker>
            <c:symbol val="none"/>
          </c:marker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'Balance Sheet &amp; Goals'!$F$4:$F$15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'Balance Sheet &amp; Goals'!$H$4:$H$15</c:f>
              <c:numCache>
                <c:formatCode>General</c:formatCode>
                <c:ptCount val="12"/>
                <c:pt idx="0">
                  <c:v>87180</c:v>
                </c:pt>
                <c:pt idx="1">
                  <c:v>88360</c:v>
                </c:pt>
                <c:pt idx="2">
                  <c:v>89540</c:v>
                </c:pt>
                <c:pt idx="3">
                  <c:v>90720</c:v>
                </c:pt>
                <c:pt idx="4">
                  <c:v>91900</c:v>
                </c:pt>
                <c:pt idx="5">
                  <c:v>93080</c:v>
                </c:pt>
                <c:pt idx="6">
                  <c:v>94260</c:v>
                </c:pt>
                <c:pt idx="7">
                  <c:v>95440</c:v>
                </c:pt>
                <c:pt idx="8">
                  <c:v>96620</c:v>
                </c:pt>
                <c:pt idx="9">
                  <c:v>97800</c:v>
                </c:pt>
                <c:pt idx="10">
                  <c:v>98980</c:v>
                </c:pt>
                <c:pt idx="11">
                  <c:v>100160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"Education"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165f20"/>
            </a:solidFill>
            <a:ln w="38160">
              <a:solidFill>
                <a:srgbClr val="165f20"/>
              </a:solidFill>
              <a:round/>
            </a:ln>
          </c:spPr>
          <c:marker>
            <c:symbol val="none"/>
          </c:marker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'Balance Sheet &amp; Goals'!$F$4:$F$15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'Balance Sheet &amp; Goals'!$I$4:$I$15</c:f>
              <c:numCache>
                <c:formatCode>General</c:formatCode>
                <c:ptCount val="12"/>
                <c:pt idx="0">
                  <c:v>12310</c:v>
                </c:pt>
                <c:pt idx="1">
                  <c:v>12620</c:v>
                </c:pt>
                <c:pt idx="2">
                  <c:v>12930</c:v>
                </c:pt>
                <c:pt idx="3">
                  <c:v>13240</c:v>
                </c:pt>
                <c:pt idx="4">
                  <c:v>13550</c:v>
                </c:pt>
                <c:pt idx="5">
                  <c:v>13860</c:v>
                </c:pt>
                <c:pt idx="6">
                  <c:v>14170</c:v>
                </c:pt>
                <c:pt idx="7">
                  <c:v>14480</c:v>
                </c:pt>
                <c:pt idx="8">
                  <c:v>14790</c:v>
                </c:pt>
                <c:pt idx="9">
                  <c:v>15100</c:v>
                </c:pt>
                <c:pt idx="10">
                  <c:v>15410</c:v>
                </c:pt>
                <c:pt idx="11">
                  <c:v>15720</c:v>
                </c:pt>
              </c:numCache>
            </c:numRef>
          </c:val>
          <c:smooth val="1"/>
        </c:ser>
        <c:ser>
          <c:idx val="3"/>
          <c:order val="3"/>
          <c:tx>
            <c:strRef>
              <c:f>"Mortgage Debt"</c:f>
              <c:strCache>
                <c:ptCount val="1"/>
                <c:pt idx="0">
                  <c:v>Mortgage Debt</c:v>
                </c:pt>
              </c:strCache>
            </c:strRef>
          </c:tx>
          <c:spPr>
            <a:solidFill>
              <a:srgbClr val="0d8cbd"/>
            </a:solidFill>
            <a:ln w="38160">
              <a:solidFill>
                <a:srgbClr val="0d8cbd"/>
              </a:solidFill>
              <a:round/>
            </a:ln>
          </c:spPr>
          <c:marker>
            <c:symbol val="none"/>
          </c:marker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'Balance Sheet &amp; Goals'!$F$4:$F$15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'Balance Sheet &amp; Goals'!$J$4:$J$15</c:f>
              <c:numCache>
                <c:formatCode>General</c:formatCode>
                <c:ptCount val="12"/>
                <c:pt idx="0">
                  <c:v>313967.5</c:v>
                </c:pt>
                <c:pt idx="1">
                  <c:v>312935</c:v>
                </c:pt>
                <c:pt idx="2">
                  <c:v>311902.5</c:v>
                </c:pt>
                <c:pt idx="3">
                  <c:v>310870</c:v>
                </c:pt>
                <c:pt idx="4">
                  <c:v>309837.5</c:v>
                </c:pt>
                <c:pt idx="5">
                  <c:v>308805</c:v>
                </c:pt>
                <c:pt idx="6">
                  <c:v>307972.5</c:v>
                </c:pt>
                <c:pt idx="7">
                  <c:v>307140</c:v>
                </c:pt>
                <c:pt idx="8">
                  <c:v>306107.5</c:v>
                </c:pt>
                <c:pt idx="9">
                  <c:v>305075</c:v>
                </c:pt>
                <c:pt idx="10">
                  <c:v>304042.5</c:v>
                </c:pt>
                <c:pt idx="11">
                  <c:v>302710</c:v>
                </c:pt>
              </c:numCache>
            </c:numRef>
          </c:val>
          <c:smooth val="1"/>
        </c:ser>
        <c:ser>
          <c:idx val="4"/>
          <c:order val="4"/>
          <c:tx>
            <c:strRef>
              <c:f>"Car Debt"</c:f>
              <c:strCache>
                <c:ptCount val="1"/>
                <c:pt idx="0">
                  <c:v>Car Debt</c:v>
                </c:pt>
              </c:strCache>
            </c:strRef>
          </c:tx>
          <c:spPr>
            <a:solidFill>
              <a:srgbClr val="8e2682"/>
            </a:solidFill>
            <a:ln w="38160">
              <a:solidFill>
                <a:srgbClr val="8e2682"/>
              </a:solidFill>
              <a:round/>
            </a:ln>
          </c:spPr>
          <c:marker>
            <c:symbol val="none"/>
          </c:marker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'Balance Sheet &amp; Goals'!$F$4:$F$15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'Balance Sheet &amp; Goals'!$K$4:$K$15</c:f>
              <c:numCache>
                <c:formatCode>General</c:formatCode>
                <c:ptCount val="12"/>
                <c:pt idx="0">
                  <c:v>13864</c:v>
                </c:pt>
                <c:pt idx="1">
                  <c:v>13528</c:v>
                </c:pt>
                <c:pt idx="2">
                  <c:v>13192</c:v>
                </c:pt>
                <c:pt idx="3">
                  <c:v>12856</c:v>
                </c:pt>
                <c:pt idx="4">
                  <c:v>12520</c:v>
                </c:pt>
                <c:pt idx="5">
                  <c:v>12184</c:v>
                </c:pt>
                <c:pt idx="6">
                  <c:v>11848</c:v>
                </c:pt>
                <c:pt idx="7">
                  <c:v>11512</c:v>
                </c:pt>
                <c:pt idx="8">
                  <c:v>11176</c:v>
                </c:pt>
                <c:pt idx="9">
                  <c:v>10840</c:v>
                </c:pt>
                <c:pt idx="10">
                  <c:v>10504</c:v>
                </c:pt>
                <c:pt idx="11">
                  <c:v>10168</c:v>
                </c:pt>
              </c:numCache>
            </c:numRef>
          </c:val>
          <c:smooth val="1"/>
        </c:ser>
        <c:ser>
          <c:idx val="5"/>
          <c:order val="5"/>
          <c:tx>
            <c:strRef>
              <c:f>"Net Worth"</c:f>
              <c:strCache>
                <c:ptCount val="1"/>
                <c:pt idx="0">
                  <c:v>Net Worth</c:v>
                </c:pt>
              </c:strCache>
            </c:strRef>
          </c:tx>
          <c:spPr>
            <a:solidFill>
              <a:srgbClr val="459428"/>
            </a:solidFill>
            <a:ln w="38160">
              <a:solidFill>
                <a:srgbClr val="459428"/>
              </a:solidFill>
              <a:round/>
            </a:ln>
          </c:spPr>
          <c:marker>
            <c:symbol val="none"/>
          </c:marker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'Balance Sheet &amp; Goals'!$F$4:$F$15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'Balance Sheet &amp; Goals'!$L$4:$L$15</c:f>
              <c:numCache>
                <c:formatCode>General</c:formatCode>
                <c:ptCount val="12"/>
                <c:pt idx="0">
                  <c:v>228753.5</c:v>
                </c:pt>
                <c:pt idx="1">
                  <c:v>232997</c:v>
                </c:pt>
                <c:pt idx="2">
                  <c:v>236560.5</c:v>
                </c:pt>
                <c:pt idx="3">
                  <c:v>240684</c:v>
                </c:pt>
                <c:pt idx="4">
                  <c:v>244522.5</c:v>
                </c:pt>
                <c:pt idx="5">
                  <c:v>249811</c:v>
                </c:pt>
                <c:pt idx="6">
                  <c:v>253364.5</c:v>
                </c:pt>
                <c:pt idx="7">
                  <c:v>257168</c:v>
                </c:pt>
                <c:pt idx="8">
                  <c:v>261031.5</c:v>
                </c:pt>
                <c:pt idx="9">
                  <c:v>265090</c:v>
                </c:pt>
                <c:pt idx="10">
                  <c:v>268928.5</c:v>
                </c:pt>
                <c:pt idx="11">
                  <c:v>274302</c:v>
                </c:pt>
              </c:numCache>
            </c:numRef>
          </c:val>
          <c:smooth val="1"/>
        </c:ser>
        <c:ser>
          <c:idx val="6"/>
          <c:order val="6"/>
          <c:tx>
            <c:strRef>
              <c:f>"Goal"</c:f>
              <c:strCache>
                <c:ptCount val="1"/>
                <c:pt idx="0">
                  <c:v>Goal</c:v>
                </c:pt>
              </c:strCache>
            </c:strRef>
          </c:tx>
          <c:spPr>
            <a:solidFill>
              <a:srgbClr val="889aaa"/>
            </a:solidFill>
            <a:ln w="38160">
              <a:solidFill>
                <a:srgbClr val="889aaa"/>
              </a:solidFill>
              <a:round/>
            </a:ln>
          </c:spPr>
          <c:marker>
            <c:symbol val="none"/>
          </c:marker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'Balance Sheet &amp; Goals'!$F$4:$F$15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'Balance Sheet &amp; Goals'!$M$4:$M$15</c:f>
              <c:numCache>
                <c:formatCode>General</c:formatCode>
                <c:ptCount val="12"/>
                <c:pt idx="0">
                  <c:v>123500</c:v>
                </c:pt>
                <c:pt idx="1">
                  <c:v>127000</c:v>
                </c:pt>
                <c:pt idx="2">
                  <c:v>130500</c:v>
                </c:pt>
                <c:pt idx="3">
                  <c:v>134000</c:v>
                </c:pt>
                <c:pt idx="4">
                  <c:v>137500</c:v>
                </c:pt>
                <c:pt idx="5">
                  <c:v>141000</c:v>
                </c:pt>
                <c:pt idx="6">
                  <c:v>144500</c:v>
                </c:pt>
                <c:pt idx="7">
                  <c:v>148000</c:v>
                </c:pt>
                <c:pt idx="8">
                  <c:v>151500</c:v>
                </c:pt>
                <c:pt idx="9">
                  <c:v>155000</c:v>
                </c:pt>
                <c:pt idx="10">
                  <c:v>158500</c:v>
                </c:pt>
                <c:pt idx="11">
                  <c:v>162000</c:v>
                </c:pt>
              </c:numCache>
            </c:numRef>
          </c:val>
          <c:smooth val="1"/>
        </c:ser>
        <c:hiLowLines>
          <c:spPr>
            <a:ln w="0">
              <a:noFill/>
            </a:ln>
          </c:spPr>
        </c:hiLowLines>
        <c:marker val="0"/>
        <c:axId val="58338356"/>
        <c:axId val="23257781"/>
      </c:lineChart>
      <c:catAx>
        <c:axId val="58338356"/>
        <c:scaling>
          <c:orientation val="minMax"/>
        </c:scaling>
        <c:delete val="0"/>
        <c:axPos val="b"/>
        <c:majorGridlines>
          <c:spPr>
            <a:ln w="9360">
              <a:solidFill>
                <a:srgbClr val="cccccc"/>
              </a:solidFill>
              <a:prstDash val="dash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ln w="12600">
            <a:solidFill>
              <a:srgbClr val="8b8b8b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  <a:ea typeface="Calibri"/>
              </a:defRPr>
            </a:pPr>
          </a:p>
        </c:txPr>
        <c:crossAx val="23257781"/>
        <c:crosses val="autoZero"/>
        <c:auto val="1"/>
        <c:lblAlgn val="ctr"/>
        <c:lblOffset val="100"/>
        <c:noMultiLvlLbl val="0"/>
      </c:catAx>
      <c:valAx>
        <c:axId val="23257781"/>
        <c:scaling>
          <c:orientation val="minMax"/>
        </c:scaling>
        <c:delete val="0"/>
        <c:axPos val="l"/>
        <c:majorGridlines>
          <c:spPr>
            <a:ln w="9360">
              <a:solidFill>
                <a:srgbClr val="cccccc"/>
              </a:solidFill>
              <a:prstDash val="dash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ln w="12600">
            <a:solidFill>
              <a:srgbClr val="8b8b8b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  <a:ea typeface="Calibri"/>
              </a:defRPr>
            </a:pPr>
          </a:p>
        </c:txPr>
        <c:crossAx val="58338356"/>
        <c:crosses val="autoZero"/>
        <c:crossBetween val="between"/>
      </c:valAx>
      <c:spPr>
        <a:noFill/>
        <a:ln w="0">
          <a:noFill/>
        </a:ln>
      </c:spPr>
    </c:plotArea>
    <c:legend>
      <c:legendPos val="b"/>
      <c:overlay val="0"/>
      <c:spPr>
        <a:noFill/>
        <a:ln w="0">
          <a:noFill/>
        </a:ln>
      </c:spPr>
      <c:txPr>
        <a:bodyPr/>
        <a:lstStyle/>
        <a:p>
          <a:pPr>
            <a:defRPr b="0" sz="1000" spc="-1" strike="noStrike">
              <a:solidFill>
                <a:srgbClr val="000000"/>
              </a:solidFill>
              <a:latin typeface="Calibri"/>
              <a:ea typeface="Calibri"/>
            </a:defRPr>
          </a:pPr>
        </a:p>
      </c:txPr>
    </c:legend>
    <c:plotVisOnly val="1"/>
    <c:dispBlanksAs val="zero"/>
  </c:chart>
  <c:spPr>
    <a:solidFill>
      <a:srgbClr val="ffffff"/>
    </a:solidFill>
    <a:ln w="9360">
      <a:solidFill>
        <a:srgbClr val="d9d9d9"/>
      </a:solidFill>
      <a:round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
</Relationships>
</file>

<file path=xl/drawings/_rels/drawing2.xml.rels><?xml version="1.0" encoding="UTF-8"?>
<Relationships xmlns="http://schemas.openxmlformats.org/package/2006/relationships"><Relationship Id="rId1" Type="http://schemas.openxmlformats.org/officeDocument/2006/relationships/chart" Target="../charts/chart3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5</xdr:col>
      <xdr:colOff>0</xdr:colOff>
      <xdr:row>2</xdr:row>
      <xdr:rowOff>0</xdr:rowOff>
    </xdr:from>
    <xdr:to>
      <xdr:col>12</xdr:col>
      <xdr:colOff>610920</xdr:colOff>
      <xdr:row>15</xdr:row>
      <xdr:rowOff>190080</xdr:rowOff>
    </xdr:to>
    <xdr:graphicFrame>
      <xdr:nvGraphicFramePr>
        <xdr:cNvPr id="0" name="Chart"/>
        <xdr:cNvGraphicFramePr/>
      </xdr:nvGraphicFramePr>
      <xdr:xfrm>
        <a:off x="6532200" y="380880"/>
        <a:ext cx="4891680" cy="26668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</xdr:col>
      <xdr:colOff>0</xdr:colOff>
      <xdr:row>17</xdr:row>
      <xdr:rowOff>0</xdr:rowOff>
    </xdr:from>
    <xdr:to>
      <xdr:col>12</xdr:col>
      <xdr:colOff>610920</xdr:colOff>
      <xdr:row>30</xdr:row>
      <xdr:rowOff>190080</xdr:rowOff>
    </xdr:to>
    <xdr:graphicFrame>
      <xdr:nvGraphicFramePr>
        <xdr:cNvPr id="1" name="Chart"/>
        <xdr:cNvGraphicFramePr/>
      </xdr:nvGraphicFramePr>
      <xdr:xfrm>
        <a:off x="6532200" y="3238560"/>
        <a:ext cx="4891680" cy="266652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5</xdr:col>
      <xdr:colOff>0</xdr:colOff>
      <xdr:row>17</xdr:row>
      <xdr:rowOff>0</xdr:rowOff>
    </xdr:from>
    <xdr:to>
      <xdr:col>13</xdr:col>
      <xdr:colOff>986400</xdr:colOff>
      <xdr:row>31</xdr:row>
      <xdr:rowOff>190080</xdr:rowOff>
    </xdr:to>
    <xdr:graphicFrame>
      <xdr:nvGraphicFramePr>
        <xdr:cNvPr id="2" name="Chart"/>
        <xdr:cNvGraphicFramePr/>
      </xdr:nvGraphicFramePr>
      <xdr:xfrm>
        <a:off x="7518960" y="3238560"/>
        <a:ext cx="8880840" cy="28569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N45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60" workbookViewId="0">
      <selection pane="topLeft" activeCell="A1" activeCellId="0" sqref="A1"/>
    </sheetView>
  </sheetViews>
  <sheetFormatPr defaultColWidth="8.6796875" defaultRowHeight="15" zeroHeight="false" outlineLevelRow="0" outlineLevelCol="0"/>
  <cols>
    <col collapsed="false" customWidth="true" hidden="false" outlineLevel="0" max="1" min="1" style="0" width="30"/>
    <col collapsed="false" customWidth="true" hidden="false" outlineLevel="0" max="14" min="2" style="0" width="12"/>
  </cols>
  <sheetData>
    <row r="1" customFormat="false" ht="15" hidden="false" customHeight="true" outlineLevel="0" collapsed="false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customFormat="false" ht="15" hidden="false" customHeight="false" outlineLevel="0" collapsed="false">
      <c r="A2" s="2" t="s">
        <v>1</v>
      </c>
      <c r="B2" s="2" t="s">
        <v>2</v>
      </c>
      <c r="C2" s="2" t="s">
        <v>3</v>
      </c>
      <c r="D2" s="2" t="s">
        <v>4</v>
      </c>
      <c r="E2" s="2" t="s">
        <v>5</v>
      </c>
      <c r="F2" s="2" t="s">
        <v>6</v>
      </c>
      <c r="G2" s="2" t="s">
        <v>7</v>
      </c>
      <c r="H2" s="2" t="s">
        <v>8</v>
      </c>
      <c r="I2" s="2" t="s">
        <v>9</v>
      </c>
      <c r="J2" s="2" t="s">
        <v>10</v>
      </c>
      <c r="K2" s="2" t="s">
        <v>11</v>
      </c>
      <c r="L2" s="2" t="s">
        <v>12</v>
      </c>
      <c r="M2" s="2" t="s">
        <v>13</v>
      </c>
      <c r="N2" s="2" t="s">
        <v>14</v>
      </c>
    </row>
    <row r="3" customFormat="false" ht="15" hidden="false" customHeight="false" outlineLevel="0" collapsed="false">
      <c r="A3" s="3" t="s">
        <v>15</v>
      </c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</row>
    <row r="4" customFormat="false" ht="15" hidden="false" customHeight="false" outlineLevel="0" collapsed="false">
      <c r="A4" s="5" t="s">
        <v>16</v>
      </c>
      <c r="B4" s="6" t="n">
        <v>5200</v>
      </c>
      <c r="C4" s="6" t="n">
        <v>5200</v>
      </c>
      <c r="D4" s="6" t="n">
        <v>5200</v>
      </c>
      <c r="E4" s="6" t="n">
        <v>5200</v>
      </c>
      <c r="F4" s="6" t="n">
        <v>5200</v>
      </c>
      <c r="G4" s="6" t="n">
        <v>5200</v>
      </c>
      <c r="H4" s="6" t="n">
        <v>5200</v>
      </c>
      <c r="I4" s="6" t="n">
        <v>5200</v>
      </c>
      <c r="J4" s="6" t="n">
        <v>5200</v>
      </c>
      <c r="K4" s="6" t="n">
        <v>5200</v>
      </c>
      <c r="L4" s="6" t="n">
        <v>5200</v>
      </c>
      <c r="M4" s="6" t="n">
        <v>5200</v>
      </c>
      <c r="N4" s="7" t="n">
        <f aca="false">SUM(B4:M4)</f>
        <v>62400</v>
      </c>
    </row>
    <row r="5" customFormat="false" ht="15" hidden="false" customHeight="false" outlineLevel="0" collapsed="false">
      <c r="A5" s="5" t="s">
        <v>17</v>
      </c>
      <c r="B5" s="6" t="n">
        <v>3100</v>
      </c>
      <c r="C5" s="6" t="n">
        <v>3100</v>
      </c>
      <c r="D5" s="6" t="n">
        <v>3100</v>
      </c>
      <c r="E5" s="6" t="n">
        <v>3100</v>
      </c>
      <c r="F5" s="6" t="n">
        <v>3100</v>
      </c>
      <c r="G5" s="6" t="n">
        <v>3100</v>
      </c>
      <c r="H5" s="6" t="n">
        <v>3100</v>
      </c>
      <c r="I5" s="6" t="n">
        <v>3100</v>
      </c>
      <c r="J5" s="6" t="n">
        <v>3100</v>
      </c>
      <c r="K5" s="6" t="n">
        <v>3100</v>
      </c>
      <c r="L5" s="6" t="n">
        <v>3100</v>
      </c>
      <c r="M5" s="6" t="n">
        <v>3100</v>
      </c>
      <c r="N5" s="7" t="n">
        <f aca="false">SUM(B5:M5)</f>
        <v>37200</v>
      </c>
    </row>
    <row r="6" customFormat="false" ht="15" hidden="false" customHeight="false" outlineLevel="0" collapsed="false">
      <c r="A6" s="5" t="s">
        <v>18</v>
      </c>
      <c r="B6" s="6" t="n">
        <v>0</v>
      </c>
      <c r="C6" s="6" t="n">
        <v>0</v>
      </c>
      <c r="D6" s="6" t="n">
        <v>0</v>
      </c>
      <c r="E6" s="6" t="n">
        <v>0</v>
      </c>
      <c r="F6" s="6" t="n">
        <v>0</v>
      </c>
      <c r="G6" s="6" t="n">
        <v>2500</v>
      </c>
      <c r="H6" s="6" t="n">
        <v>0</v>
      </c>
      <c r="I6" s="6" t="n">
        <v>0</v>
      </c>
      <c r="J6" s="6" t="n">
        <v>0</v>
      </c>
      <c r="K6" s="6" t="n">
        <v>0</v>
      </c>
      <c r="L6" s="6" t="n">
        <v>0</v>
      </c>
      <c r="M6" s="6" t="n">
        <v>4000</v>
      </c>
      <c r="N6" s="7" t="n">
        <f aca="false">SUM(B6:M6)</f>
        <v>6500</v>
      </c>
    </row>
    <row r="7" customFormat="false" ht="15" hidden="false" customHeight="false" outlineLevel="0" collapsed="false">
      <c r="A7" s="5" t="s">
        <v>19</v>
      </c>
      <c r="B7" s="6" t="n">
        <v>250</v>
      </c>
      <c r="C7" s="6" t="n">
        <v>350</v>
      </c>
      <c r="D7" s="6" t="n">
        <v>200</v>
      </c>
      <c r="E7" s="6" t="n">
        <v>400</v>
      </c>
      <c r="F7" s="6" t="n">
        <v>300</v>
      </c>
      <c r="G7" s="6" t="n">
        <v>450</v>
      </c>
      <c r="H7" s="6" t="n">
        <v>250</v>
      </c>
      <c r="I7" s="6" t="n">
        <v>300</v>
      </c>
      <c r="J7" s="6" t="n">
        <v>500</v>
      </c>
      <c r="K7" s="6" t="n">
        <v>350</v>
      </c>
      <c r="L7" s="6" t="n">
        <v>300</v>
      </c>
      <c r="M7" s="6" t="n">
        <v>600</v>
      </c>
      <c r="N7" s="7" t="n">
        <f aca="false">SUM(B7:M7)</f>
        <v>4250</v>
      </c>
    </row>
    <row r="8" customFormat="false" ht="15" hidden="false" customHeight="false" outlineLevel="0" collapsed="false">
      <c r="A8" s="5" t="s">
        <v>20</v>
      </c>
      <c r="B8" s="6" t="n">
        <v>25</v>
      </c>
      <c r="C8" s="6" t="n">
        <v>25</v>
      </c>
      <c r="D8" s="6" t="n">
        <v>30</v>
      </c>
      <c r="E8" s="6" t="n">
        <v>25</v>
      </c>
      <c r="F8" s="6" t="n">
        <v>30</v>
      </c>
      <c r="G8" s="6" t="n">
        <v>30</v>
      </c>
      <c r="H8" s="6" t="n">
        <v>35</v>
      </c>
      <c r="I8" s="6" t="n">
        <v>35</v>
      </c>
      <c r="J8" s="6" t="n">
        <v>35</v>
      </c>
      <c r="K8" s="6" t="n">
        <v>40</v>
      </c>
      <c r="L8" s="6" t="n">
        <v>40</v>
      </c>
      <c r="M8" s="6" t="n">
        <v>45</v>
      </c>
      <c r="N8" s="7" t="n">
        <f aca="false">SUM(B8:M8)</f>
        <v>395</v>
      </c>
    </row>
    <row r="9" customFormat="false" ht="15" hidden="false" customHeight="false" outlineLevel="0" collapsed="false">
      <c r="A9" s="8" t="s">
        <v>21</v>
      </c>
      <c r="B9" s="9" t="n">
        <f aca="false">SUM(B4:B8)</f>
        <v>8575</v>
      </c>
      <c r="C9" s="9" t="n">
        <f aca="false">SUM(C4:C8)</f>
        <v>8675</v>
      </c>
      <c r="D9" s="9" t="n">
        <f aca="false">SUM(D4:D8)</f>
        <v>8530</v>
      </c>
      <c r="E9" s="9" t="n">
        <f aca="false">SUM(E4:E8)</f>
        <v>8725</v>
      </c>
      <c r="F9" s="9" t="n">
        <f aca="false">SUM(F4:F8)</f>
        <v>8630</v>
      </c>
      <c r="G9" s="9" t="n">
        <f aca="false">SUM(G4:G8)</f>
        <v>11280</v>
      </c>
      <c r="H9" s="9" t="n">
        <f aca="false">SUM(H4:H8)</f>
        <v>8585</v>
      </c>
      <c r="I9" s="9" t="n">
        <f aca="false">SUM(I4:I8)</f>
        <v>8635</v>
      </c>
      <c r="J9" s="9" t="n">
        <f aca="false">SUM(J4:J8)</f>
        <v>8835</v>
      </c>
      <c r="K9" s="9" t="n">
        <f aca="false">SUM(K4:K8)</f>
        <v>8690</v>
      </c>
      <c r="L9" s="9" t="n">
        <f aca="false">SUM(L4:L8)</f>
        <v>8640</v>
      </c>
      <c r="M9" s="9" t="n">
        <f aca="false">SUM(M4:M8)</f>
        <v>12945</v>
      </c>
      <c r="N9" s="9" t="n">
        <f aca="false">SUM(B9:M9)</f>
        <v>110745</v>
      </c>
    </row>
    <row r="10" customFormat="false" ht="15" hidden="false" customHeight="false" outlineLevel="0" collapsed="false">
      <c r="A10" s="5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</row>
    <row r="11" customFormat="false" ht="15" hidden="false" customHeight="false" outlineLevel="0" collapsed="false">
      <c r="A11" s="3" t="s">
        <v>22</v>
      </c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</row>
    <row r="12" customFormat="false" ht="15" hidden="false" customHeight="false" outlineLevel="0" collapsed="false">
      <c r="A12" s="5" t="s">
        <v>23</v>
      </c>
      <c r="B12" s="6" t="n">
        <v>1850</v>
      </c>
      <c r="C12" s="6" t="n">
        <v>1850</v>
      </c>
      <c r="D12" s="6" t="n">
        <v>1850</v>
      </c>
      <c r="E12" s="6" t="n">
        <v>1850</v>
      </c>
      <c r="F12" s="6" t="n">
        <v>1850</v>
      </c>
      <c r="G12" s="6" t="n">
        <v>1850</v>
      </c>
      <c r="H12" s="6" t="n">
        <v>1850</v>
      </c>
      <c r="I12" s="6" t="n">
        <v>1850</v>
      </c>
      <c r="J12" s="6" t="n">
        <v>1850</v>
      </c>
      <c r="K12" s="6" t="n">
        <v>1850</v>
      </c>
      <c r="L12" s="6" t="n">
        <v>1850</v>
      </c>
      <c r="M12" s="6" t="n">
        <v>1850</v>
      </c>
      <c r="N12" s="7" t="n">
        <f aca="false">SUM(B12:M12)</f>
        <v>22200</v>
      </c>
    </row>
    <row r="13" customFormat="false" ht="15" hidden="false" customHeight="false" outlineLevel="0" collapsed="false">
      <c r="A13" s="5" t="s">
        <v>24</v>
      </c>
      <c r="B13" s="6" t="n">
        <v>420</v>
      </c>
      <c r="C13" s="6" t="n">
        <v>420</v>
      </c>
      <c r="D13" s="6" t="n">
        <v>420</v>
      </c>
      <c r="E13" s="6" t="n">
        <v>420</v>
      </c>
      <c r="F13" s="6" t="n">
        <v>420</v>
      </c>
      <c r="G13" s="6" t="n">
        <v>420</v>
      </c>
      <c r="H13" s="6" t="n">
        <v>420</v>
      </c>
      <c r="I13" s="6" t="n">
        <v>420</v>
      </c>
      <c r="J13" s="6" t="n">
        <v>420</v>
      </c>
      <c r="K13" s="6" t="n">
        <v>420</v>
      </c>
      <c r="L13" s="6" t="n">
        <v>420</v>
      </c>
      <c r="M13" s="6" t="n">
        <v>420</v>
      </c>
      <c r="N13" s="7" t="n">
        <f aca="false">SUM(B13:M13)</f>
        <v>5040</v>
      </c>
    </row>
    <row r="14" customFormat="false" ht="15" hidden="false" customHeight="false" outlineLevel="0" collapsed="false">
      <c r="A14" s="5" t="s">
        <v>25</v>
      </c>
      <c r="B14" s="6" t="n">
        <v>260</v>
      </c>
      <c r="C14" s="6" t="n">
        <v>240</v>
      </c>
      <c r="D14" s="6" t="n">
        <v>230</v>
      </c>
      <c r="E14" s="6" t="n">
        <v>220</v>
      </c>
      <c r="F14" s="6" t="n">
        <v>210</v>
      </c>
      <c r="G14" s="6" t="n">
        <v>250</v>
      </c>
      <c r="H14" s="6" t="n">
        <v>320</v>
      </c>
      <c r="I14" s="6" t="n">
        <v>340</v>
      </c>
      <c r="J14" s="6" t="n">
        <v>260</v>
      </c>
      <c r="K14" s="6" t="n">
        <v>230</v>
      </c>
      <c r="L14" s="6" t="n">
        <v>240</v>
      </c>
      <c r="M14" s="6" t="n">
        <v>300</v>
      </c>
      <c r="N14" s="7" t="n">
        <f aca="false">SUM(B14:M14)</f>
        <v>3100</v>
      </c>
    </row>
    <row r="15" customFormat="false" ht="15" hidden="false" customHeight="false" outlineLevel="0" collapsed="false">
      <c r="A15" s="5" t="s">
        <v>26</v>
      </c>
      <c r="B15" s="6" t="n">
        <v>720</v>
      </c>
      <c r="C15" s="6" t="n">
        <v>690</v>
      </c>
      <c r="D15" s="6" t="n">
        <v>710</v>
      </c>
      <c r="E15" s="6" t="n">
        <v>740</v>
      </c>
      <c r="F15" s="6" t="n">
        <v>760</v>
      </c>
      <c r="G15" s="6" t="n">
        <v>780</v>
      </c>
      <c r="H15" s="6" t="n">
        <v>750</v>
      </c>
      <c r="I15" s="6" t="n">
        <v>770</v>
      </c>
      <c r="J15" s="6" t="n">
        <v>730</v>
      </c>
      <c r="K15" s="6" t="n">
        <v>710</v>
      </c>
      <c r="L15" s="6" t="n">
        <v>760</v>
      </c>
      <c r="M15" s="6" t="n">
        <v>900</v>
      </c>
      <c r="N15" s="7" t="n">
        <f aca="false">SUM(B15:M15)</f>
        <v>9020</v>
      </c>
    </row>
    <row r="16" customFormat="false" ht="15" hidden="false" customHeight="false" outlineLevel="0" collapsed="false">
      <c r="A16" s="5" t="s">
        <v>27</v>
      </c>
      <c r="B16" s="6" t="n">
        <v>380</v>
      </c>
      <c r="C16" s="6" t="n">
        <v>360</v>
      </c>
      <c r="D16" s="6" t="n">
        <v>390</v>
      </c>
      <c r="E16" s="6" t="n">
        <v>410</v>
      </c>
      <c r="F16" s="6" t="n">
        <v>370</v>
      </c>
      <c r="G16" s="6" t="n">
        <v>420</v>
      </c>
      <c r="H16" s="6" t="n">
        <v>400</v>
      </c>
      <c r="I16" s="6" t="n">
        <v>450</v>
      </c>
      <c r="J16" s="6" t="n">
        <v>390</v>
      </c>
      <c r="K16" s="6" t="n">
        <v>380</v>
      </c>
      <c r="L16" s="6" t="n">
        <v>410</v>
      </c>
      <c r="M16" s="6" t="n">
        <v>500</v>
      </c>
      <c r="N16" s="7" t="n">
        <f aca="false">SUM(B16:M16)</f>
        <v>4860</v>
      </c>
    </row>
    <row r="17" customFormat="false" ht="15" hidden="false" customHeight="false" outlineLevel="0" collapsed="false">
      <c r="A17" s="5" t="s">
        <v>28</v>
      </c>
      <c r="B17" s="6" t="n">
        <v>310</v>
      </c>
      <c r="C17" s="6" t="n">
        <v>310</v>
      </c>
      <c r="D17" s="6" t="n">
        <v>310</v>
      </c>
      <c r="E17" s="6" t="n">
        <v>310</v>
      </c>
      <c r="F17" s="6" t="n">
        <v>310</v>
      </c>
      <c r="G17" s="6" t="n">
        <v>310</v>
      </c>
      <c r="H17" s="6" t="n">
        <v>310</v>
      </c>
      <c r="I17" s="6" t="n">
        <v>310</v>
      </c>
      <c r="J17" s="6" t="n">
        <v>310</v>
      </c>
      <c r="K17" s="6" t="n">
        <v>310</v>
      </c>
      <c r="L17" s="6" t="n">
        <v>310</v>
      </c>
      <c r="M17" s="6" t="n">
        <v>310</v>
      </c>
      <c r="N17" s="7" t="n">
        <f aca="false">SUM(B17:M17)</f>
        <v>3720</v>
      </c>
    </row>
    <row r="18" customFormat="false" ht="15" hidden="false" customHeight="false" outlineLevel="0" collapsed="false">
      <c r="A18" s="5" t="s">
        <v>29</v>
      </c>
      <c r="B18" s="6" t="n">
        <v>680</v>
      </c>
      <c r="C18" s="6" t="n">
        <v>680</v>
      </c>
      <c r="D18" s="6" t="n">
        <v>680</v>
      </c>
      <c r="E18" s="6" t="n">
        <v>680</v>
      </c>
      <c r="F18" s="6" t="n">
        <v>680</v>
      </c>
      <c r="G18" s="6" t="n">
        <v>680</v>
      </c>
      <c r="H18" s="6" t="n">
        <v>680</v>
      </c>
      <c r="I18" s="6" t="n">
        <v>680</v>
      </c>
      <c r="J18" s="6" t="n">
        <v>720</v>
      </c>
      <c r="K18" s="6" t="n">
        <v>720</v>
      </c>
      <c r="L18" s="6" t="n">
        <v>720</v>
      </c>
      <c r="M18" s="6" t="n">
        <v>720</v>
      </c>
      <c r="N18" s="7" t="n">
        <f aca="false">SUM(B18:M18)</f>
        <v>8320</v>
      </c>
    </row>
    <row r="19" customFormat="false" ht="15" hidden="false" customHeight="false" outlineLevel="0" collapsed="false">
      <c r="A19" s="5" t="s">
        <v>30</v>
      </c>
      <c r="B19" s="6" t="n">
        <v>120</v>
      </c>
      <c r="C19" s="6" t="n">
        <v>80</v>
      </c>
      <c r="D19" s="6" t="n">
        <v>150</v>
      </c>
      <c r="E19" s="6" t="n">
        <v>60</v>
      </c>
      <c r="F19" s="6" t="n">
        <v>90</v>
      </c>
      <c r="G19" s="6" t="n">
        <v>110</v>
      </c>
      <c r="H19" s="6" t="n">
        <v>130</v>
      </c>
      <c r="I19" s="6" t="n">
        <v>75</v>
      </c>
      <c r="J19" s="6" t="n">
        <v>95</v>
      </c>
      <c r="K19" s="6" t="n">
        <v>160</v>
      </c>
      <c r="L19" s="6" t="n">
        <v>90</v>
      </c>
      <c r="M19" s="6" t="n">
        <v>140</v>
      </c>
      <c r="N19" s="7" t="n">
        <f aca="false">SUM(B19:M19)</f>
        <v>1300</v>
      </c>
    </row>
    <row r="20" customFormat="false" ht="15" hidden="false" customHeight="false" outlineLevel="0" collapsed="false">
      <c r="A20" s="5" t="s">
        <v>31</v>
      </c>
      <c r="B20" s="6" t="n">
        <v>145</v>
      </c>
      <c r="C20" s="6" t="n">
        <v>145</v>
      </c>
      <c r="D20" s="6" t="n">
        <v>145</v>
      </c>
      <c r="E20" s="6" t="n">
        <v>145</v>
      </c>
      <c r="F20" s="6" t="n">
        <v>145</v>
      </c>
      <c r="G20" s="6" t="n">
        <v>145</v>
      </c>
      <c r="H20" s="6" t="n">
        <v>145</v>
      </c>
      <c r="I20" s="6" t="n">
        <v>145</v>
      </c>
      <c r="J20" s="6" t="n">
        <v>145</v>
      </c>
      <c r="K20" s="6" t="n">
        <v>145</v>
      </c>
      <c r="L20" s="6" t="n">
        <v>145</v>
      </c>
      <c r="M20" s="6" t="n">
        <v>145</v>
      </c>
      <c r="N20" s="7" t="n">
        <f aca="false">SUM(B20:M20)</f>
        <v>1740</v>
      </c>
    </row>
    <row r="21" customFormat="false" ht="15" hidden="false" customHeight="false" outlineLevel="0" collapsed="false">
      <c r="A21" s="8" t="s">
        <v>32</v>
      </c>
      <c r="B21" s="9" t="n">
        <f aca="false">SUM(B12:B20)</f>
        <v>4885</v>
      </c>
      <c r="C21" s="9" t="n">
        <f aca="false">SUM(C12:C20)</f>
        <v>4775</v>
      </c>
      <c r="D21" s="9" t="n">
        <f aca="false">SUM(D12:D20)</f>
        <v>4885</v>
      </c>
      <c r="E21" s="9" t="n">
        <f aca="false">SUM(E12:E20)</f>
        <v>4835</v>
      </c>
      <c r="F21" s="9" t="n">
        <f aca="false">SUM(F12:F20)</f>
        <v>4835</v>
      </c>
      <c r="G21" s="9" t="n">
        <f aca="false">SUM(G12:G20)</f>
        <v>4965</v>
      </c>
      <c r="H21" s="9" t="n">
        <f aca="false">SUM(H12:H20)</f>
        <v>5005</v>
      </c>
      <c r="I21" s="9" t="n">
        <f aca="false">SUM(I12:I20)</f>
        <v>5040</v>
      </c>
      <c r="J21" s="9" t="n">
        <f aca="false">SUM(J12:J20)</f>
        <v>4920</v>
      </c>
      <c r="K21" s="9" t="n">
        <f aca="false">SUM(K12:K20)</f>
        <v>4925</v>
      </c>
      <c r="L21" s="9" t="n">
        <f aca="false">SUM(L12:L20)</f>
        <v>4945</v>
      </c>
      <c r="M21" s="9" t="n">
        <f aca="false">SUM(M12:M20)</f>
        <v>5285</v>
      </c>
      <c r="N21" s="9" t="n">
        <f aca="false">SUM(B21:M21)</f>
        <v>59300</v>
      </c>
    </row>
    <row r="22" customFormat="false" ht="15" hidden="false" customHeight="false" outlineLevel="0" collapsed="false">
      <c r="A22" s="5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</row>
    <row r="23" customFormat="false" ht="15" hidden="false" customHeight="false" outlineLevel="0" collapsed="false">
      <c r="A23" s="3" t="s">
        <v>33</v>
      </c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</row>
    <row r="24" customFormat="false" ht="15" hidden="false" customHeight="false" outlineLevel="0" collapsed="false">
      <c r="A24" s="5" t="s">
        <v>34</v>
      </c>
      <c r="B24" s="6" t="n">
        <v>260</v>
      </c>
      <c r="C24" s="6" t="n">
        <v>220</v>
      </c>
      <c r="D24" s="6" t="n">
        <v>280</v>
      </c>
      <c r="E24" s="6" t="n">
        <v>300</v>
      </c>
      <c r="F24" s="6" t="n">
        <v>250</v>
      </c>
      <c r="G24" s="6" t="n">
        <v>310</v>
      </c>
      <c r="H24" s="6" t="n">
        <v>290</v>
      </c>
      <c r="I24" s="6" t="n">
        <v>330</v>
      </c>
      <c r="J24" s="6" t="n">
        <v>270</v>
      </c>
      <c r="K24" s="6" t="n">
        <v>260</v>
      </c>
      <c r="L24" s="6" t="n">
        <v>310</v>
      </c>
      <c r="M24" s="6" t="n">
        <v>420</v>
      </c>
      <c r="N24" s="7" t="n">
        <f aca="false">SUM(B24:M24)</f>
        <v>3500</v>
      </c>
    </row>
    <row r="25" customFormat="false" ht="15" hidden="false" customHeight="false" outlineLevel="0" collapsed="false">
      <c r="A25" s="5" t="s">
        <v>35</v>
      </c>
      <c r="B25" s="6" t="n">
        <v>140</v>
      </c>
      <c r="C25" s="6" t="n">
        <v>110</v>
      </c>
      <c r="D25" s="6" t="n">
        <v>150</v>
      </c>
      <c r="E25" s="6" t="n">
        <v>130</v>
      </c>
      <c r="F25" s="6" t="n">
        <v>180</v>
      </c>
      <c r="G25" s="6" t="n">
        <v>160</v>
      </c>
      <c r="H25" s="6" t="n">
        <v>190</v>
      </c>
      <c r="I25" s="6" t="n">
        <v>170</v>
      </c>
      <c r="J25" s="6" t="n">
        <v>140</v>
      </c>
      <c r="K25" s="6" t="n">
        <v>150</v>
      </c>
      <c r="L25" s="6" t="n">
        <v>180</v>
      </c>
      <c r="M25" s="6" t="n">
        <v>220</v>
      </c>
      <c r="N25" s="7" t="n">
        <f aca="false">SUM(B25:M25)</f>
        <v>1920</v>
      </c>
    </row>
    <row r="26" customFormat="false" ht="15" hidden="false" customHeight="false" outlineLevel="0" collapsed="false">
      <c r="A26" s="5" t="s">
        <v>36</v>
      </c>
      <c r="B26" s="6" t="n">
        <v>120</v>
      </c>
      <c r="C26" s="6" t="n">
        <v>80</v>
      </c>
      <c r="D26" s="6" t="n">
        <v>160</v>
      </c>
      <c r="E26" s="6" t="n">
        <v>90</v>
      </c>
      <c r="F26" s="6" t="n">
        <v>140</v>
      </c>
      <c r="G26" s="6" t="n">
        <v>100</v>
      </c>
      <c r="H26" s="6" t="n">
        <v>130</v>
      </c>
      <c r="I26" s="6" t="n">
        <v>150</v>
      </c>
      <c r="J26" s="6" t="n">
        <v>90</v>
      </c>
      <c r="K26" s="6" t="n">
        <v>110</v>
      </c>
      <c r="L26" s="6" t="n">
        <v>180</v>
      </c>
      <c r="M26" s="6" t="n">
        <v>260</v>
      </c>
      <c r="N26" s="7" t="n">
        <f aca="false">SUM(B26:M26)</f>
        <v>1610</v>
      </c>
    </row>
    <row r="27" customFormat="false" ht="15" hidden="false" customHeight="false" outlineLevel="0" collapsed="false">
      <c r="A27" s="5" t="s">
        <v>37</v>
      </c>
      <c r="B27" s="6" t="n">
        <v>0</v>
      </c>
      <c r="C27" s="6" t="n">
        <v>0</v>
      </c>
      <c r="D27" s="6" t="n">
        <v>300</v>
      </c>
      <c r="E27" s="6" t="n">
        <v>0</v>
      </c>
      <c r="F27" s="6" t="n">
        <v>0</v>
      </c>
      <c r="G27" s="6" t="n">
        <v>1200</v>
      </c>
      <c r="H27" s="6" t="n">
        <v>0</v>
      </c>
      <c r="I27" s="6" t="n">
        <v>0</v>
      </c>
      <c r="J27" s="6" t="n">
        <v>450</v>
      </c>
      <c r="K27" s="6" t="n">
        <v>0</v>
      </c>
      <c r="L27" s="6" t="n">
        <v>0</v>
      </c>
      <c r="M27" s="6" t="n">
        <v>1800</v>
      </c>
      <c r="N27" s="7" t="n">
        <f aca="false">SUM(B27:M27)</f>
        <v>3750</v>
      </c>
    </row>
    <row r="28" customFormat="false" ht="15" hidden="false" customHeight="false" outlineLevel="0" collapsed="false">
      <c r="A28" s="5" t="s">
        <v>38</v>
      </c>
      <c r="B28" s="6" t="n">
        <v>95</v>
      </c>
      <c r="C28" s="6" t="n">
        <v>95</v>
      </c>
      <c r="D28" s="6" t="n">
        <v>95</v>
      </c>
      <c r="E28" s="6" t="n">
        <v>95</v>
      </c>
      <c r="F28" s="6" t="n">
        <v>95</v>
      </c>
      <c r="G28" s="6" t="n">
        <v>95</v>
      </c>
      <c r="H28" s="6" t="n">
        <v>95</v>
      </c>
      <c r="I28" s="6" t="n">
        <v>95</v>
      </c>
      <c r="J28" s="6" t="n">
        <v>95</v>
      </c>
      <c r="K28" s="6" t="n">
        <v>95</v>
      </c>
      <c r="L28" s="6" t="n">
        <v>95</v>
      </c>
      <c r="M28" s="6" t="n">
        <v>95</v>
      </c>
      <c r="N28" s="7" t="n">
        <f aca="false">SUM(B28:M28)</f>
        <v>1140</v>
      </c>
    </row>
    <row r="29" customFormat="false" ht="15" hidden="false" customHeight="false" outlineLevel="0" collapsed="false">
      <c r="A29" s="5" t="s">
        <v>39</v>
      </c>
      <c r="B29" s="6" t="n">
        <v>80</v>
      </c>
      <c r="C29" s="6" t="n">
        <v>60</v>
      </c>
      <c r="D29" s="6" t="n">
        <v>75</v>
      </c>
      <c r="E29" s="6" t="n">
        <v>90</v>
      </c>
      <c r="F29" s="6" t="n">
        <v>100</v>
      </c>
      <c r="G29" s="6" t="n">
        <v>120</v>
      </c>
      <c r="H29" s="6" t="n">
        <v>80</v>
      </c>
      <c r="I29" s="6" t="n">
        <v>85</v>
      </c>
      <c r="J29" s="6" t="n">
        <v>75</v>
      </c>
      <c r="K29" s="6" t="n">
        <v>90</v>
      </c>
      <c r="L29" s="6" t="n">
        <v>140</v>
      </c>
      <c r="M29" s="6" t="n">
        <v>350</v>
      </c>
      <c r="N29" s="7" t="n">
        <f aca="false">SUM(B29:M29)</f>
        <v>1345</v>
      </c>
    </row>
    <row r="30" customFormat="false" ht="15" hidden="false" customHeight="false" outlineLevel="0" collapsed="false">
      <c r="A30" s="5" t="s">
        <v>40</v>
      </c>
      <c r="B30" s="6" t="n">
        <v>100</v>
      </c>
      <c r="C30" s="6" t="n">
        <v>150</v>
      </c>
      <c r="D30" s="6" t="n">
        <v>80</v>
      </c>
      <c r="E30" s="6" t="n">
        <v>120</v>
      </c>
      <c r="F30" s="6" t="n">
        <v>250</v>
      </c>
      <c r="G30" s="6" t="n">
        <v>100</v>
      </c>
      <c r="H30" s="6" t="n">
        <v>400</v>
      </c>
      <c r="I30" s="6" t="n">
        <v>120</v>
      </c>
      <c r="J30" s="6" t="n">
        <v>90</v>
      </c>
      <c r="K30" s="6" t="n">
        <v>160</v>
      </c>
      <c r="L30" s="6" t="n">
        <v>110</v>
      </c>
      <c r="M30" s="6" t="n">
        <v>300</v>
      </c>
      <c r="N30" s="7" t="n">
        <f aca="false">SUM(B30:M30)</f>
        <v>1980</v>
      </c>
    </row>
    <row r="31" customFormat="false" ht="15" hidden="false" customHeight="false" outlineLevel="0" collapsed="false">
      <c r="A31" s="8" t="s">
        <v>41</v>
      </c>
      <c r="B31" s="9" t="n">
        <f aca="false">SUM(B24:B30)</f>
        <v>795</v>
      </c>
      <c r="C31" s="9" t="n">
        <f aca="false">SUM(C24:C30)</f>
        <v>715</v>
      </c>
      <c r="D31" s="9" t="n">
        <f aca="false">SUM(D24:D30)</f>
        <v>1140</v>
      </c>
      <c r="E31" s="9" t="n">
        <f aca="false">SUM(E24:E30)</f>
        <v>825</v>
      </c>
      <c r="F31" s="9" t="n">
        <f aca="false">SUM(F24:F30)</f>
        <v>1015</v>
      </c>
      <c r="G31" s="9" t="n">
        <f aca="false">SUM(G24:G30)</f>
        <v>2085</v>
      </c>
      <c r="H31" s="9" t="n">
        <f aca="false">SUM(H24:H30)</f>
        <v>1185</v>
      </c>
      <c r="I31" s="9" t="n">
        <f aca="false">SUM(I24:I30)</f>
        <v>950</v>
      </c>
      <c r="J31" s="9" t="n">
        <f aca="false">SUM(J24:J30)</f>
        <v>1210</v>
      </c>
      <c r="K31" s="9" t="n">
        <f aca="false">SUM(K24:K30)</f>
        <v>865</v>
      </c>
      <c r="L31" s="9" t="n">
        <f aca="false">SUM(L24:L30)</f>
        <v>1015</v>
      </c>
      <c r="M31" s="9" t="n">
        <f aca="false">SUM(M24:M30)</f>
        <v>3445</v>
      </c>
      <c r="N31" s="9" t="n">
        <f aca="false">SUM(B31:M31)</f>
        <v>15245</v>
      </c>
    </row>
    <row r="32" customFormat="false" ht="15" hidden="false" customHeight="false" outlineLevel="0" collapsed="false">
      <c r="A32" s="5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</row>
    <row r="33" customFormat="false" ht="15" hidden="false" customHeight="false" outlineLevel="0" collapsed="false">
      <c r="A33" s="3" t="s">
        <v>42</v>
      </c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</row>
    <row r="34" customFormat="false" ht="15" hidden="false" customHeight="false" outlineLevel="0" collapsed="false">
      <c r="A34" s="5" t="s">
        <v>43</v>
      </c>
      <c r="B34" s="6" t="n">
        <v>750</v>
      </c>
      <c r="C34" s="6" t="n">
        <v>750</v>
      </c>
      <c r="D34" s="6" t="n">
        <v>750</v>
      </c>
      <c r="E34" s="6" t="n">
        <v>750</v>
      </c>
      <c r="F34" s="6" t="n">
        <v>750</v>
      </c>
      <c r="G34" s="6" t="n">
        <v>750</v>
      </c>
      <c r="H34" s="6" t="n">
        <v>750</v>
      </c>
      <c r="I34" s="6" t="n">
        <v>750</v>
      </c>
      <c r="J34" s="6" t="n">
        <v>750</v>
      </c>
      <c r="K34" s="6" t="n">
        <v>750</v>
      </c>
      <c r="L34" s="6" t="n">
        <v>750</v>
      </c>
      <c r="M34" s="6" t="n">
        <v>750</v>
      </c>
      <c r="N34" s="7" t="n">
        <f aca="false">SUM(B34:M34)</f>
        <v>9000</v>
      </c>
    </row>
    <row r="35" customFormat="false" ht="15" hidden="false" customHeight="false" outlineLevel="0" collapsed="false">
      <c r="A35" s="5" t="s">
        <v>44</v>
      </c>
      <c r="B35" s="6" t="n">
        <v>250</v>
      </c>
      <c r="C35" s="6" t="n">
        <v>250</v>
      </c>
      <c r="D35" s="6" t="n">
        <v>250</v>
      </c>
      <c r="E35" s="6" t="n">
        <v>250</v>
      </c>
      <c r="F35" s="6" t="n">
        <v>250</v>
      </c>
      <c r="G35" s="6" t="n">
        <v>250</v>
      </c>
      <c r="H35" s="6" t="n">
        <v>250</v>
      </c>
      <c r="I35" s="6" t="n">
        <v>250</v>
      </c>
      <c r="J35" s="6" t="n">
        <v>250</v>
      </c>
      <c r="K35" s="6" t="n">
        <v>250</v>
      </c>
      <c r="L35" s="6" t="n">
        <v>250</v>
      </c>
      <c r="M35" s="6" t="n">
        <v>250</v>
      </c>
      <c r="N35" s="7" t="n">
        <f aca="false">SUM(B35:M35)</f>
        <v>3000</v>
      </c>
    </row>
    <row r="36" customFormat="false" ht="15" hidden="false" customHeight="false" outlineLevel="0" collapsed="false">
      <c r="A36" s="5" t="s">
        <v>45</v>
      </c>
      <c r="B36" s="6" t="n">
        <v>300</v>
      </c>
      <c r="C36" s="6" t="n">
        <v>300</v>
      </c>
      <c r="D36" s="6" t="n">
        <v>300</v>
      </c>
      <c r="E36" s="6" t="n">
        <v>300</v>
      </c>
      <c r="F36" s="6" t="n">
        <v>300</v>
      </c>
      <c r="G36" s="6" t="n">
        <v>300</v>
      </c>
      <c r="H36" s="6" t="n">
        <v>200</v>
      </c>
      <c r="I36" s="6" t="n">
        <v>200</v>
      </c>
      <c r="J36" s="6" t="n">
        <v>200</v>
      </c>
      <c r="K36" s="6" t="n">
        <v>200</v>
      </c>
      <c r="L36" s="6" t="n">
        <v>200</v>
      </c>
      <c r="M36" s="6" t="n">
        <v>200</v>
      </c>
      <c r="N36" s="7" t="n">
        <f aca="false">SUM(B36:M36)</f>
        <v>3000</v>
      </c>
    </row>
    <row r="37" customFormat="false" ht="15" hidden="false" customHeight="false" outlineLevel="0" collapsed="false">
      <c r="A37" s="5" t="s">
        <v>46</v>
      </c>
      <c r="B37" s="6" t="n">
        <v>200</v>
      </c>
      <c r="C37" s="6" t="n">
        <v>200</v>
      </c>
      <c r="D37" s="6" t="n">
        <v>200</v>
      </c>
      <c r="E37" s="6" t="n">
        <v>200</v>
      </c>
      <c r="F37" s="6" t="n">
        <v>200</v>
      </c>
      <c r="G37" s="6" t="n">
        <v>200</v>
      </c>
      <c r="H37" s="6" t="n">
        <v>0</v>
      </c>
      <c r="I37" s="6" t="n">
        <v>0</v>
      </c>
      <c r="J37" s="6" t="n">
        <v>200</v>
      </c>
      <c r="K37" s="6" t="n">
        <v>200</v>
      </c>
      <c r="L37" s="6" t="n">
        <v>200</v>
      </c>
      <c r="M37" s="6" t="n">
        <v>500</v>
      </c>
      <c r="N37" s="7" t="n">
        <f aca="false">SUM(B37:M37)</f>
        <v>2300</v>
      </c>
    </row>
    <row r="38" customFormat="false" ht="15" hidden="false" customHeight="false" outlineLevel="0" collapsed="false">
      <c r="A38" s="5" t="s">
        <v>47</v>
      </c>
      <c r="B38" s="6" t="n">
        <v>420</v>
      </c>
      <c r="C38" s="6" t="n">
        <v>420</v>
      </c>
      <c r="D38" s="6" t="n">
        <v>420</v>
      </c>
      <c r="E38" s="6" t="n">
        <v>420</v>
      </c>
      <c r="F38" s="6" t="n">
        <v>420</v>
      </c>
      <c r="G38" s="6" t="n">
        <v>420</v>
      </c>
      <c r="H38" s="6" t="n">
        <v>420</v>
      </c>
      <c r="I38" s="6" t="n">
        <v>420</v>
      </c>
      <c r="J38" s="6" t="n">
        <v>420</v>
      </c>
      <c r="K38" s="6" t="n">
        <v>420</v>
      </c>
      <c r="L38" s="6" t="n">
        <v>420</v>
      </c>
      <c r="M38" s="6" t="n">
        <v>420</v>
      </c>
      <c r="N38" s="7" t="n">
        <f aca="false">SUM(B38:M38)</f>
        <v>5040</v>
      </c>
    </row>
    <row r="39" customFormat="false" ht="15" hidden="false" customHeight="false" outlineLevel="0" collapsed="false">
      <c r="A39" s="5" t="s">
        <v>48</v>
      </c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</row>
    <row r="40" customFormat="false" ht="15" hidden="false" customHeight="false" outlineLevel="0" collapsed="false">
      <c r="A40" s="8"/>
      <c r="B40" s="9" t="n">
        <f aca="false">SUM(B34:B39)</f>
        <v>1920</v>
      </c>
      <c r="C40" s="9" t="n">
        <f aca="false">SUM(C34:C39)</f>
        <v>1920</v>
      </c>
      <c r="D40" s="9" t="n">
        <f aca="false">SUM(D34:D39)</f>
        <v>1920</v>
      </c>
      <c r="E40" s="9" t="n">
        <f aca="false">SUM(E34:E39)</f>
        <v>1920</v>
      </c>
      <c r="F40" s="9" t="n">
        <f aca="false">SUM(F34:F39)</f>
        <v>1920</v>
      </c>
      <c r="G40" s="9" t="n">
        <f aca="false">SUM(G34:G39)</f>
        <v>1920</v>
      </c>
      <c r="H40" s="9" t="n">
        <f aca="false">SUM(H34:H39)</f>
        <v>1620</v>
      </c>
      <c r="I40" s="9" t="n">
        <f aca="false">SUM(I34:I39)</f>
        <v>1620</v>
      </c>
      <c r="J40" s="9" t="n">
        <f aca="false">SUM(J34:J39)</f>
        <v>1820</v>
      </c>
      <c r="K40" s="9" t="n">
        <f aca="false">SUM(K34:K39)</f>
        <v>1820</v>
      </c>
      <c r="L40" s="9" t="n">
        <f aca="false">SUM(L34:L39)</f>
        <v>1820</v>
      </c>
      <c r="M40" s="9" t="n">
        <f aca="false">SUM(M34:M39)</f>
        <v>2120</v>
      </c>
      <c r="N40" s="9" t="n">
        <f aca="false">SUM(B40:M40)</f>
        <v>22340</v>
      </c>
    </row>
    <row r="41" customFormat="false" ht="15" hidden="false" customHeight="false" outlineLevel="0" collapsed="false">
      <c r="A41" s="5" t="s">
        <v>49</v>
      </c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</row>
    <row r="42" customFormat="false" ht="15" hidden="false" customHeight="false" outlineLevel="0" collapsed="false">
      <c r="A42" s="8" t="s">
        <v>50</v>
      </c>
      <c r="B42" s="9" t="n">
        <f aca="false">B21+B31+B40</f>
        <v>7600</v>
      </c>
      <c r="C42" s="9" t="n">
        <f aca="false">C21+C31+C40</f>
        <v>7410</v>
      </c>
      <c r="D42" s="9" t="n">
        <f aca="false">D21+D31+D40</f>
        <v>7945</v>
      </c>
      <c r="E42" s="9" t="n">
        <f aca="false">E21+E31+E40</f>
        <v>7580</v>
      </c>
      <c r="F42" s="9" t="n">
        <f aca="false">F21+F31+F40</f>
        <v>7770</v>
      </c>
      <c r="G42" s="9" t="n">
        <f aca="false">G21+G31+G40</f>
        <v>8970</v>
      </c>
      <c r="H42" s="9" t="n">
        <f aca="false">H21+H31+H40</f>
        <v>7810</v>
      </c>
      <c r="I42" s="9" t="n">
        <f aca="false">I21+I31+I40</f>
        <v>7610</v>
      </c>
      <c r="J42" s="9" t="n">
        <f aca="false">J21+J31+J40</f>
        <v>7950</v>
      </c>
      <c r="K42" s="9" t="n">
        <f aca="false">K21+K31+K40</f>
        <v>7610</v>
      </c>
      <c r="L42" s="9" t="n">
        <f aca="false">L21+L31+L40</f>
        <v>7780</v>
      </c>
      <c r="M42" s="9" t="n">
        <f aca="false">M21+M31+M40</f>
        <v>10850</v>
      </c>
      <c r="N42" s="9" t="n">
        <f aca="false">SUM(B42:M42)</f>
        <v>96885</v>
      </c>
    </row>
    <row r="43" customFormat="false" ht="15" hidden="false" customHeight="false" outlineLevel="0" collapsed="false">
      <c r="A43" s="8" t="s">
        <v>51</v>
      </c>
      <c r="B43" s="9" t="n">
        <f aca="false">B9-B42</f>
        <v>975</v>
      </c>
      <c r="C43" s="9" t="n">
        <f aca="false">C9-C42</f>
        <v>1265</v>
      </c>
      <c r="D43" s="9" t="n">
        <f aca="false">D9-D42</f>
        <v>585</v>
      </c>
      <c r="E43" s="9" t="n">
        <f aca="false">E9-E42</f>
        <v>1145</v>
      </c>
      <c r="F43" s="9" t="n">
        <f aca="false">F9-F42</f>
        <v>860</v>
      </c>
      <c r="G43" s="9" t="n">
        <f aca="false">G9-G42</f>
        <v>2310</v>
      </c>
      <c r="H43" s="9" t="n">
        <f aca="false">H9-H42</f>
        <v>775</v>
      </c>
      <c r="I43" s="9" t="n">
        <f aca="false">I9-I42</f>
        <v>1025</v>
      </c>
      <c r="J43" s="9" t="n">
        <f aca="false">J9-J42</f>
        <v>885</v>
      </c>
      <c r="K43" s="9" t="n">
        <f aca="false">K9-K42</f>
        <v>1080</v>
      </c>
      <c r="L43" s="9" t="n">
        <f aca="false">L9-L42</f>
        <v>860</v>
      </c>
      <c r="M43" s="9" t="n">
        <f aca="false">M9-M42</f>
        <v>2095</v>
      </c>
      <c r="N43" s="9" t="n">
        <f aca="false">SUM(B43:M43)</f>
        <v>13860</v>
      </c>
    </row>
    <row r="44" customFormat="false" ht="15" hidden="false" customHeight="false" outlineLevel="0" collapsed="false">
      <c r="A44" s="8" t="s">
        <v>52</v>
      </c>
      <c r="B44" s="9" t="n">
        <v>12000</v>
      </c>
      <c r="C44" s="9" t="n">
        <f aca="false">B45</f>
        <v>12975</v>
      </c>
      <c r="D44" s="9" t="n">
        <f aca="false">C45</f>
        <v>14240</v>
      </c>
      <c r="E44" s="9" t="n">
        <f aca="false">D45</f>
        <v>14825</v>
      </c>
      <c r="F44" s="9" t="n">
        <f aca="false">E45</f>
        <v>15970</v>
      </c>
      <c r="G44" s="9" t="n">
        <f aca="false">F45</f>
        <v>16830</v>
      </c>
      <c r="H44" s="9" t="n">
        <f aca="false">G45</f>
        <v>19140</v>
      </c>
      <c r="I44" s="9" t="n">
        <f aca="false">H45</f>
        <v>19915</v>
      </c>
      <c r="J44" s="9" t="n">
        <f aca="false">I45</f>
        <v>20940</v>
      </c>
      <c r="K44" s="9" t="n">
        <f aca="false">J45</f>
        <v>21825</v>
      </c>
      <c r="L44" s="9" t="n">
        <f aca="false">K45</f>
        <v>22905</v>
      </c>
      <c r="M44" s="9" t="n">
        <f aca="false">L45</f>
        <v>23765</v>
      </c>
      <c r="N44" s="9" t="s">
        <v>53</v>
      </c>
    </row>
    <row r="45" customFormat="false" ht="15" hidden="false" customHeight="false" outlineLevel="0" collapsed="false">
      <c r="A45" s="8"/>
      <c r="B45" s="9" t="n">
        <f aca="false">B44+B43</f>
        <v>12975</v>
      </c>
      <c r="C45" s="9" t="n">
        <f aca="false">C44+C43</f>
        <v>14240</v>
      </c>
      <c r="D45" s="9" t="n">
        <f aca="false">D44+D43</f>
        <v>14825</v>
      </c>
      <c r="E45" s="9" t="n">
        <f aca="false">E44+E43</f>
        <v>15970</v>
      </c>
      <c r="F45" s="9" t="n">
        <f aca="false">F44+F43</f>
        <v>16830</v>
      </c>
      <c r="G45" s="9" t="n">
        <f aca="false">G44+G43</f>
        <v>19140</v>
      </c>
      <c r="H45" s="9" t="n">
        <f aca="false">H44+H43</f>
        <v>19915</v>
      </c>
      <c r="I45" s="9" t="n">
        <f aca="false">I44+I43</f>
        <v>20940</v>
      </c>
      <c r="J45" s="9" t="n">
        <f aca="false">J44+J43</f>
        <v>21825</v>
      </c>
      <c r="K45" s="9" t="n">
        <f aca="false">K44+K43</f>
        <v>22905</v>
      </c>
      <c r="L45" s="9" t="n">
        <f aca="false">L44+L43</f>
        <v>23765</v>
      </c>
      <c r="M45" s="9" t="n">
        <f aca="false">M44+M43</f>
        <v>25860</v>
      </c>
      <c r="N45" s="9" t="n">
        <f aca="false">M45</f>
        <v>25860</v>
      </c>
    </row>
  </sheetData>
  <mergeCells count="1">
    <mergeCell ref="A1:N1"/>
  </mergeCells>
  <conditionalFormatting sqref="B43:M43">
    <cfRule type="cellIs" priority="2" operator="lessThan" aboveAverage="0" equalAverage="0" bottom="0" percent="0" rank="0" text="" dxfId="0">
      <formula>0</formula>
    </cfRule>
    <cfRule type="cellIs" priority="3" operator="greaterThan" aboveAverage="0" equalAverage="0" bottom="0" percent="0" rank="0" text="" dxfId="1">
      <formula>0</formula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H2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60" workbookViewId="0">
      <selection pane="topLeft" activeCell="A1" activeCellId="0" sqref="A1"/>
    </sheetView>
  </sheetViews>
  <sheetFormatPr defaultColWidth="8.6796875" defaultRowHeight="15" zeroHeight="false" outlineLevelRow="0" outlineLevelCol="0"/>
  <cols>
    <col collapsed="false" customWidth="true" hidden="false" outlineLevel="0" max="1" min="1" style="0" width="28"/>
    <col collapsed="false" customWidth="true" hidden="false" outlineLevel="0" max="3" min="2" style="0" width="16"/>
    <col collapsed="false" customWidth="true" hidden="false" outlineLevel="0" max="4" min="4" style="0" width="24"/>
  </cols>
  <sheetData>
    <row r="1" customFormat="false" ht="15" hidden="false" customHeight="true" outlineLevel="0" collapsed="false">
      <c r="A1" s="1" t="s">
        <v>54</v>
      </c>
      <c r="B1" s="1"/>
      <c r="C1" s="1"/>
      <c r="D1" s="1"/>
      <c r="E1" s="1"/>
      <c r="F1" s="1"/>
      <c r="G1" s="1"/>
      <c r="H1" s="1"/>
    </row>
    <row r="2" customFormat="false" ht="15" hidden="false" customHeight="false" outlineLevel="0" collapsed="false">
      <c r="A2" s="5"/>
      <c r="B2" s="5"/>
      <c r="C2" s="5"/>
      <c r="D2" s="5"/>
    </row>
    <row r="3" customFormat="false" ht="15" hidden="false" customHeight="false" outlineLevel="0" collapsed="false">
      <c r="A3" s="2" t="s">
        <v>55</v>
      </c>
      <c r="B3" s="2" t="s">
        <v>56</v>
      </c>
      <c r="C3" s="2" t="s">
        <v>57</v>
      </c>
      <c r="D3" s="2" t="s">
        <v>58</v>
      </c>
    </row>
    <row r="4" customFormat="false" ht="15" hidden="false" customHeight="false" outlineLevel="0" collapsed="false">
      <c r="A4" s="5" t="s">
        <v>21</v>
      </c>
      <c r="B4" s="11" t="n">
        <f aca="false">'Monthly Cash Flow'!N9</f>
        <v>110745</v>
      </c>
      <c r="C4" s="5"/>
      <c r="D4" s="5"/>
    </row>
    <row r="5" customFormat="false" ht="15" hidden="false" customHeight="false" outlineLevel="0" collapsed="false">
      <c r="A5" s="5" t="s">
        <v>59</v>
      </c>
      <c r="B5" s="11" t="n">
        <f aca="false">'Monthly Cash Flow'!N21</f>
        <v>59300</v>
      </c>
      <c r="C5" s="5"/>
      <c r="D5" s="5"/>
    </row>
    <row r="6" customFormat="false" ht="15" hidden="false" customHeight="false" outlineLevel="0" collapsed="false">
      <c r="A6" s="5" t="s">
        <v>60</v>
      </c>
      <c r="B6" s="11" t="n">
        <f aca="false">'Monthly Cash Flow'!N31</f>
        <v>15245</v>
      </c>
      <c r="C6" s="5"/>
      <c r="D6" s="5"/>
    </row>
    <row r="7" customFormat="false" ht="15" hidden="false" customHeight="false" outlineLevel="0" collapsed="false">
      <c r="A7" s="5" t="s">
        <v>61</v>
      </c>
      <c r="B7" s="11" t="n">
        <f aca="false">'Monthly Cash Flow'!N40</f>
        <v>22340</v>
      </c>
      <c r="C7" s="5"/>
      <c r="D7" s="5"/>
    </row>
    <row r="8" customFormat="false" ht="15" hidden="false" customHeight="false" outlineLevel="0" collapsed="false">
      <c r="A8" s="5" t="s">
        <v>62</v>
      </c>
      <c r="B8" s="11" t="n">
        <f aca="false">'Monthly Cash Flow'!N43</f>
        <v>13860</v>
      </c>
      <c r="C8" s="5"/>
      <c r="D8" s="5"/>
    </row>
    <row r="9" customFormat="false" ht="15" hidden="false" customHeight="false" outlineLevel="0" collapsed="false">
      <c r="A9" s="5" t="s">
        <v>52</v>
      </c>
      <c r="B9" s="11" t="n">
        <f aca="false">'Monthly Cash Flow'!N45</f>
        <v>25860</v>
      </c>
      <c r="C9" s="5"/>
      <c r="D9" s="5"/>
    </row>
    <row r="10" customFormat="false" ht="15" hidden="false" customHeight="false" outlineLevel="0" collapsed="false">
      <c r="A10" s="5" t="s">
        <v>63</v>
      </c>
      <c r="B10" s="12" t="n">
        <f aca="false">'Monthly Cash Flow'!N40/'Monthly Cash Flow'!N9</f>
        <v>0.201724682829925</v>
      </c>
      <c r="C10" s="13" t="n">
        <v>0.2</v>
      </c>
      <c r="D10" s="5" t="str">
        <f aca="false">IF(B9&gt;=C9,"On Track","Below Target")</f>
        <v>On Track</v>
      </c>
    </row>
    <row r="11" customFormat="false" ht="15" hidden="false" customHeight="false" outlineLevel="0" collapsed="false">
      <c r="A11" s="5" t="s">
        <v>64</v>
      </c>
      <c r="B11" s="14" t="n">
        <f aca="false">SUM('Monthly Cash Flow'!B12:M13)/'Monthly Cash Flow'!N9</f>
        <v>0.245970472707571</v>
      </c>
      <c r="C11" s="15" t="n">
        <v>0.3</v>
      </c>
      <c r="D11" s="5" t="str">
        <f aca="false">IF(B10&lt;=C10,"Healthy","High")</f>
        <v>High</v>
      </c>
    </row>
    <row r="12" customFormat="false" ht="15" hidden="false" customHeight="false" outlineLevel="0" collapsed="false">
      <c r="A12" s="5" t="s">
        <v>65</v>
      </c>
      <c r="B12" s="14" t="n">
        <f aca="false">'Balance Sheet &amp; Goals'!B20/('Monthly Cash Flow'!N21/12)</f>
        <v>84.991568296796</v>
      </c>
      <c r="C12" s="15" t="n">
        <v>6</v>
      </c>
      <c r="D12" s="5" t="str">
        <f aca="false">IF(B11&gt;=C11,"On Track","Below Target")</f>
        <v>Below Target</v>
      </c>
    </row>
    <row r="13" customFormat="false" ht="15" hidden="false" customHeight="false" outlineLevel="0" collapsed="false">
      <c r="A13" s="5" t="s">
        <v>66</v>
      </c>
      <c r="B13" s="16" t="n">
        <f aca="false">'Balance Sheet &amp; Goals'!B17/'Monthly Cash Flow'!N9</f>
        <v>0.904420064111247</v>
      </c>
      <c r="C13" s="17" t="n">
        <v>3</v>
      </c>
      <c r="D13" s="5" t="str">
        <f aca="false">IF(B12&lt;=C12,"Healthy","High")</f>
        <v>High</v>
      </c>
    </row>
    <row r="14" customFormat="false" ht="15" hidden="false" customHeight="false" outlineLevel="0" collapsed="false">
      <c r="A14" s="5"/>
      <c r="B14" s="5"/>
      <c r="C14" s="5"/>
      <c r="D14" s="5"/>
    </row>
    <row r="15" customFormat="false" ht="15" hidden="false" customHeight="false" outlineLevel="0" collapsed="false">
      <c r="A15" s="2" t="s">
        <v>67</v>
      </c>
      <c r="B15" s="2" t="s">
        <v>68</v>
      </c>
      <c r="C15" s="2" t="s">
        <v>69</v>
      </c>
      <c r="D15" s="2" t="s">
        <v>70</v>
      </c>
    </row>
    <row r="16" customFormat="false" ht="15" hidden="false" customHeight="false" outlineLevel="0" collapsed="false">
      <c r="A16" s="5" t="s">
        <v>71</v>
      </c>
      <c r="B16" s="10" t="n">
        <f aca="false">SUM('Monthly Cash Flow'!B12:M13)</f>
        <v>27240</v>
      </c>
      <c r="C16" s="18" t="n">
        <f aca="false">B16/$B$4</f>
        <v>0.245970472707571</v>
      </c>
      <c r="D16" s="5" t="s">
        <v>72</v>
      </c>
    </row>
    <row r="17" customFormat="false" ht="15" hidden="false" customHeight="false" outlineLevel="0" collapsed="false">
      <c r="A17" s="5" t="s">
        <v>73</v>
      </c>
      <c r="B17" s="10" t="n">
        <f aca="false">SUM('Monthly Cash Flow'!B14:M14)+SUM('Monthly Cash Flow'!B24:M24)</f>
        <v>6600</v>
      </c>
      <c r="C17" s="18" t="n">
        <f aca="false">B17/$B$4</f>
        <v>0.0595963700392794</v>
      </c>
      <c r="D17" s="5" t="s">
        <v>74</v>
      </c>
    </row>
    <row r="18" customFormat="false" ht="15" hidden="false" customHeight="false" outlineLevel="0" collapsed="false">
      <c r="A18" s="5" t="s">
        <v>27</v>
      </c>
      <c r="B18" s="10" t="n">
        <f aca="false">SUM('Monthly Cash Flow'!B15:M15)+SUM('Monthly Cash Flow'!B39:M39)</f>
        <v>9020</v>
      </c>
      <c r="C18" s="18" t="n">
        <f aca="false">B18/$B$4</f>
        <v>0.0814483723870152</v>
      </c>
      <c r="D18" s="5" t="s">
        <v>75</v>
      </c>
    </row>
    <row r="19" customFormat="false" ht="15" hidden="false" customHeight="false" outlineLevel="0" collapsed="false">
      <c r="A19" s="5" t="s">
        <v>29</v>
      </c>
      <c r="B19" s="10" t="n">
        <f aca="false">SUM('Monthly Cash Flow'!B17:M17)</f>
        <v>3720</v>
      </c>
      <c r="C19" s="18" t="n">
        <f aca="false">B19/$B$4</f>
        <v>0.0335906812948666</v>
      </c>
      <c r="D19" s="5" t="s">
        <v>76</v>
      </c>
    </row>
    <row r="20" customFormat="false" ht="15" hidden="false" customHeight="false" outlineLevel="0" collapsed="false">
      <c r="A20" s="5" t="s">
        <v>77</v>
      </c>
      <c r="B20" s="10" t="n">
        <f aca="false">SUM('Monthly Cash Flow'!B16:M16)+SUM('Monthly Cash Flow'!B18:M18)</f>
        <v>13180</v>
      </c>
      <c r="C20" s="18" t="n">
        <f aca="false">B20/$B$4</f>
        <v>0.119012145017834</v>
      </c>
      <c r="D20" s="5" t="s">
        <v>78</v>
      </c>
    </row>
    <row r="21" customFormat="false" ht="15" hidden="false" customHeight="false" outlineLevel="0" collapsed="false">
      <c r="A21" s="5" t="s">
        <v>79</v>
      </c>
      <c r="B21" s="10" t="n">
        <f aca="false">'Monthly Cash Flow'!N31</f>
        <v>15245</v>
      </c>
      <c r="C21" s="18" t="n">
        <f aca="false">B21/$B$4</f>
        <v>0.137658585037699</v>
      </c>
      <c r="D21" s="5" t="s">
        <v>80</v>
      </c>
    </row>
    <row r="22" customFormat="false" ht="15" hidden="false" customHeight="false" outlineLevel="0" collapsed="false">
      <c r="A22" s="5" t="s">
        <v>81</v>
      </c>
      <c r="B22" s="10" t="n">
        <f aca="false">SUM('Monthly Cash Flow'!B34:M36)</f>
        <v>15000</v>
      </c>
      <c r="C22" s="18" t="n">
        <f aca="false">B22/$B$4</f>
        <v>0.135446295543817</v>
      </c>
      <c r="D22" s="5" t="s">
        <v>82</v>
      </c>
    </row>
    <row r="23" customFormat="false" ht="15" hidden="false" customHeight="false" outlineLevel="0" collapsed="false">
      <c r="A23" s="5" t="s">
        <v>83</v>
      </c>
      <c r="B23" s="10" t="n">
        <f aca="false">SUM('Monthly Cash Flow'!B37:M39)</f>
        <v>7340</v>
      </c>
      <c r="C23" s="18" t="n">
        <f aca="false">B23/$B$4</f>
        <v>0.0662783872861077</v>
      </c>
      <c r="D23" s="5" t="s">
        <v>84</v>
      </c>
    </row>
  </sheetData>
  <mergeCells count="1">
    <mergeCell ref="A1:H1"/>
  </mergeCells>
  <conditionalFormatting sqref="D4:D12">
    <cfRule type="expression" priority="2" aboveAverage="0" equalAverage="0" bottom="0" percent="0" rank="0" text="" dxfId="2">
      <formula>OR(D4="On Track",D4="Healthy",D4="Achieved")</formula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N3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60" workbookViewId="0">
      <selection pane="topLeft" activeCell="A1" activeCellId="0" sqref="A1"/>
    </sheetView>
  </sheetViews>
  <sheetFormatPr defaultColWidth="8.6796875" defaultRowHeight="15" zeroHeight="false" outlineLevelRow="0" outlineLevelCol="0"/>
  <cols>
    <col collapsed="false" customWidth="true" hidden="false" outlineLevel="0" max="1" min="1" style="0" width="33"/>
    <col collapsed="false" customWidth="true" hidden="false" outlineLevel="0" max="2" min="2" style="0" width="16"/>
    <col collapsed="false" customWidth="true" hidden="false" outlineLevel="0" max="3" min="3" style="0" width="15"/>
    <col collapsed="false" customWidth="true" hidden="false" outlineLevel="0" max="4" min="4" style="0" width="34"/>
    <col collapsed="false" customWidth="true" hidden="false" outlineLevel="0" max="14" min="6" style="0" width="14"/>
  </cols>
  <sheetData>
    <row r="1" customFormat="false" ht="15" hidden="false" customHeight="true" outlineLevel="0" collapsed="false">
      <c r="A1" s="1" t="s">
        <v>85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customFormat="false" ht="15" hidden="false" customHeight="false" outlineLevel="0" collapsed="false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</row>
    <row r="3" customFormat="false" ht="15" hidden="false" customHeight="false" outlineLevel="0" collapsed="false">
      <c r="A3" s="2" t="s">
        <v>86</v>
      </c>
      <c r="B3" s="2" t="s">
        <v>56</v>
      </c>
      <c r="C3" s="2" t="s">
        <v>87</v>
      </c>
      <c r="D3" s="2" t="s">
        <v>88</v>
      </c>
      <c r="E3" s="5"/>
      <c r="F3" s="2" t="s">
        <v>89</v>
      </c>
      <c r="G3" s="2" t="s">
        <v>90</v>
      </c>
      <c r="H3" s="2" t="s">
        <v>91</v>
      </c>
      <c r="I3" s="2" t="s">
        <v>92</v>
      </c>
      <c r="J3" s="2" t="s">
        <v>93</v>
      </c>
      <c r="K3" s="2" t="s">
        <v>94</v>
      </c>
      <c r="L3" s="2" t="s">
        <v>95</v>
      </c>
      <c r="M3" s="2" t="s">
        <v>96</v>
      </c>
      <c r="N3" s="2" t="s">
        <v>97</v>
      </c>
    </row>
    <row r="4" customFormat="false" ht="15" hidden="false" customHeight="false" outlineLevel="0" collapsed="false">
      <c r="A4" s="5" t="s">
        <v>98</v>
      </c>
      <c r="B4" s="6" t="n">
        <v>420000</v>
      </c>
      <c r="C4" s="5" t="s">
        <v>99</v>
      </c>
      <c r="D4" s="5" t="s">
        <v>100</v>
      </c>
      <c r="E4" s="5"/>
      <c r="F4" s="5" t="s">
        <v>2</v>
      </c>
      <c r="G4" s="11" t="n">
        <f aca="false">'Monthly Cash Flow'!B45</f>
        <v>12975</v>
      </c>
      <c r="H4" s="11" t="n">
        <f aca="false">$B$9*(1+$B$13*(1/12))+SUM('Monthly Cash Flow'!$B$34:B$34)</f>
        <v>87180</v>
      </c>
      <c r="I4" s="11" t="n">
        <f aca="false">$B$11*(1+$B$13*(1/12))+SUM('Monthly Cash Flow'!$B$35:B$35)</f>
        <v>12310</v>
      </c>
      <c r="J4" s="11" t="n">
        <f aca="false">$B$5-SUM('Monthly Cash Flow'!$B$37:B$37)-(1850*1*0.45)</f>
        <v>313967.5</v>
      </c>
      <c r="K4" s="11" t="n">
        <f aca="false">MAX(0,$B$7-(420*1*0.8))</f>
        <v>13864</v>
      </c>
      <c r="L4" s="11" t="n">
        <f aca="false">G4+H4+I4+$B$4-J4-K4+$B$10*(1+$B$13*(1/12))</f>
        <v>228753.5</v>
      </c>
      <c r="M4" s="6" t="n">
        <f aca="false">120000+(1*3500)</f>
        <v>123500</v>
      </c>
      <c r="N4" s="11" t="n">
        <f aca="false">L4-M4</f>
        <v>105253.5</v>
      </c>
    </row>
    <row r="5" customFormat="false" ht="15" hidden="false" customHeight="false" outlineLevel="0" collapsed="false">
      <c r="A5" s="5" t="s">
        <v>101</v>
      </c>
      <c r="B5" s="6" t="n">
        <v>315000</v>
      </c>
      <c r="C5" s="5" t="s">
        <v>99</v>
      </c>
      <c r="D5" s="5" t="s">
        <v>102</v>
      </c>
      <c r="E5" s="5"/>
      <c r="F5" s="5" t="s">
        <v>3</v>
      </c>
      <c r="G5" s="11" t="n">
        <f aca="false">'Monthly Cash Flow'!C45</f>
        <v>14240</v>
      </c>
      <c r="H5" s="11" t="n">
        <f aca="false">$B$9*(1+$B$13*(2/12))+SUM('Monthly Cash Flow'!$B$34:C$34)</f>
        <v>88360</v>
      </c>
      <c r="I5" s="11" t="n">
        <f aca="false">$B$11*(1+$B$13*(2/12))+SUM('Monthly Cash Flow'!$B$35:C$35)</f>
        <v>12620</v>
      </c>
      <c r="J5" s="11" t="n">
        <f aca="false">$B$5-SUM('Monthly Cash Flow'!$B$37:C$37)-(1850*2*0.45)</f>
        <v>312935</v>
      </c>
      <c r="K5" s="11" t="n">
        <f aca="false">MAX(0,$B$7-(420*2*0.8))</f>
        <v>13528</v>
      </c>
      <c r="L5" s="11" t="n">
        <f aca="false">G5+H5+I5+$B$4-J5-K5+$B$10*(1+$B$13*(2/12))</f>
        <v>232997</v>
      </c>
      <c r="M5" s="6" t="n">
        <f aca="false">120000+(2*3500)</f>
        <v>127000</v>
      </c>
      <c r="N5" s="11" t="n">
        <f aca="false">L5-M5</f>
        <v>105997</v>
      </c>
    </row>
    <row r="6" customFormat="false" ht="15" hidden="false" customHeight="false" outlineLevel="0" collapsed="false">
      <c r="A6" s="5" t="s">
        <v>103</v>
      </c>
      <c r="B6" s="13" t="n">
        <v>0.045</v>
      </c>
      <c r="C6" s="5" t="s">
        <v>104</v>
      </c>
      <c r="D6" s="5" t="s">
        <v>105</v>
      </c>
      <c r="E6" s="5"/>
      <c r="F6" s="5" t="s">
        <v>4</v>
      </c>
      <c r="G6" s="11" t="n">
        <f aca="false">'Monthly Cash Flow'!D45</f>
        <v>14825</v>
      </c>
      <c r="H6" s="11" t="n">
        <f aca="false">$B$9*(1+$B$13*(3/12))+SUM('Monthly Cash Flow'!$B$34:D$34)</f>
        <v>89540</v>
      </c>
      <c r="I6" s="11" t="n">
        <f aca="false">$B$11*(1+$B$13*(3/12))+SUM('Monthly Cash Flow'!$B$35:D$35)</f>
        <v>12930</v>
      </c>
      <c r="J6" s="11" t="n">
        <f aca="false">$B$5-SUM('Monthly Cash Flow'!$B$37:D$37)-(1850*3*0.45)</f>
        <v>311902.5</v>
      </c>
      <c r="K6" s="11" t="n">
        <f aca="false">MAX(0,$B$7-(420*3*0.8))</f>
        <v>13192</v>
      </c>
      <c r="L6" s="11" t="n">
        <f aca="false">G6+H6+I6+$B$4-J6-K6+$B$10*(1+$B$13*(3/12))</f>
        <v>236560.5</v>
      </c>
      <c r="M6" s="6" t="n">
        <f aca="false">120000+(3*3500)</f>
        <v>130500</v>
      </c>
      <c r="N6" s="11" t="n">
        <f aca="false">L6-M6</f>
        <v>106060.5</v>
      </c>
    </row>
    <row r="7" customFormat="false" ht="15" hidden="false" customHeight="false" outlineLevel="0" collapsed="false">
      <c r="A7" s="5" t="s">
        <v>106</v>
      </c>
      <c r="B7" s="6" t="n">
        <v>14200</v>
      </c>
      <c r="C7" s="5" t="s">
        <v>99</v>
      </c>
      <c r="D7" s="5" t="s">
        <v>102</v>
      </c>
      <c r="E7" s="5"/>
      <c r="F7" s="5" t="s">
        <v>5</v>
      </c>
      <c r="G7" s="11" t="n">
        <f aca="false">'Monthly Cash Flow'!E45</f>
        <v>15970</v>
      </c>
      <c r="H7" s="11" t="n">
        <f aca="false">$B$9*(1+$B$13*(4/12))+SUM('Monthly Cash Flow'!$B$34:E$34)</f>
        <v>90720</v>
      </c>
      <c r="I7" s="11" t="n">
        <f aca="false">$B$11*(1+$B$13*(4/12))+SUM('Monthly Cash Flow'!$B$35:E$35)</f>
        <v>13240</v>
      </c>
      <c r="J7" s="11" t="n">
        <f aca="false">$B$5-SUM('Monthly Cash Flow'!$B$37:E$37)-(1850*4*0.45)</f>
        <v>310870</v>
      </c>
      <c r="K7" s="11" t="n">
        <f aca="false">MAX(0,$B$7-(420*4*0.8))</f>
        <v>12856</v>
      </c>
      <c r="L7" s="11" t="n">
        <f aca="false">G7+H7+I7+$B$4-J7-K7+$B$10*(1+$B$13*(4/12))</f>
        <v>240684</v>
      </c>
      <c r="M7" s="6" t="n">
        <f aca="false">120000+(4*3500)</f>
        <v>134000</v>
      </c>
      <c r="N7" s="11" t="n">
        <f aca="false">L7-M7</f>
        <v>106684</v>
      </c>
    </row>
    <row r="8" customFormat="false" ht="15" hidden="false" customHeight="false" outlineLevel="0" collapsed="false">
      <c r="A8" s="5" t="s">
        <v>107</v>
      </c>
      <c r="B8" s="13" t="n">
        <v>0.059</v>
      </c>
      <c r="C8" s="5" t="s">
        <v>104</v>
      </c>
      <c r="D8" s="5" t="s">
        <v>105</v>
      </c>
      <c r="E8" s="5"/>
      <c r="F8" s="5" t="s">
        <v>6</v>
      </c>
      <c r="G8" s="11" t="n">
        <f aca="false">'Monthly Cash Flow'!F45</f>
        <v>16830</v>
      </c>
      <c r="H8" s="11" t="n">
        <f aca="false">$B$9*(1+$B$13*(5/12))+SUM('Monthly Cash Flow'!$B$34:F$34)</f>
        <v>91900</v>
      </c>
      <c r="I8" s="11" t="n">
        <f aca="false">$B$11*(1+$B$13*(5/12))+SUM('Monthly Cash Flow'!$B$35:F$35)</f>
        <v>13550</v>
      </c>
      <c r="J8" s="11" t="n">
        <f aca="false">$B$5-SUM('Monthly Cash Flow'!$B$37:F$37)-(1850*5*0.45)</f>
        <v>309837.5</v>
      </c>
      <c r="K8" s="11" t="n">
        <f aca="false">MAX(0,$B$7-(420*5*0.8))</f>
        <v>12520</v>
      </c>
      <c r="L8" s="11" t="n">
        <f aca="false">G8+H8+I8+$B$4-J8-K8+$B$10*(1+$B$13*(5/12))</f>
        <v>244522.5</v>
      </c>
      <c r="M8" s="6" t="n">
        <f aca="false">120000+(5*3500)</f>
        <v>137500</v>
      </c>
      <c r="N8" s="11" t="n">
        <f aca="false">L8-M8</f>
        <v>107022.5</v>
      </c>
    </row>
    <row r="9" customFormat="false" ht="15" hidden="false" customHeight="false" outlineLevel="0" collapsed="false">
      <c r="A9" s="5" t="s">
        <v>108</v>
      </c>
      <c r="B9" s="6" t="n">
        <v>86000</v>
      </c>
      <c r="C9" s="5" t="s">
        <v>99</v>
      </c>
      <c r="D9" s="5" t="s">
        <v>109</v>
      </c>
      <c r="E9" s="5"/>
      <c r="F9" s="5" t="s">
        <v>7</v>
      </c>
      <c r="G9" s="11" t="n">
        <f aca="false">'Monthly Cash Flow'!G45</f>
        <v>19140</v>
      </c>
      <c r="H9" s="11" t="n">
        <f aca="false">$B$9*(1+$B$13*(6/12))+SUM('Monthly Cash Flow'!$B$34:G$34)</f>
        <v>93080</v>
      </c>
      <c r="I9" s="11" t="n">
        <f aca="false">$B$11*(1+$B$13*(6/12))+SUM('Monthly Cash Flow'!$B$35:G$35)</f>
        <v>13860</v>
      </c>
      <c r="J9" s="11" t="n">
        <f aca="false">$B$5-SUM('Monthly Cash Flow'!$B$37:G$37)-(1850*6*0.45)</f>
        <v>308805</v>
      </c>
      <c r="K9" s="11" t="n">
        <f aca="false">MAX(0,$B$7-(420*6*0.8))</f>
        <v>12184</v>
      </c>
      <c r="L9" s="11" t="n">
        <f aca="false">G9+H9+I9+$B$4-J9-K9+$B$10*(1+$B$13*(6/12))</f>
        <v>249811</v>
      </c>
      <c r="M9" s="6" t="n">
        <f aca="false">120000+(6*3500)</f>
        <v>141000</v>
      </c>
      <c r="N9" s="11" t="n">
        <f aca="false">L9-M9</f>
        <v>108811</v>
      </c>
    </row>
    <row r="10" customFormat="false" ht="15" hidden="false" customHeight="false" outlineLevel="0" collapsed="false">
      <c r="A10" s="5" t="s">
        <v>110</v>
      </c>
      <c r="B10" s="6" t="n">
        <v>24000</v>
      </c>
      <c r="C10" s="5" t="s">
        <v>99</v>
      </c>
      <c r="D10" s="5" t="s">
        <v>109</v>
      </c>
      <c r="E10" s="5"/>
      <c r="F10" s="5" t="s">
        <v>8</v>
      </c>
      <c r="G10" s="11" t="n">
        <f aca="false">'Monthly Cash Flow'!H45</f>
        <v>19915</v>
      </c>
      <c r="H10" s="11" t="n">
        <f aca="false">$B$9*(1+$B$13*(7/12))+SUM('Monthly Cash Flow'!$B$34:H$34)</f>
        <v>94260</v>
      </c>
      <c r="I10" s="11" t="n">
        <f aca="false">$B$11*(1+$B$13*(7/12))+SUM('Monthly Cash Flow'!$B$35:H$35)</f>
        <v>14170</v>
      </c>
      <c r="J10" s="11" t="n">
        <f aca="false">$B$5-SUM('Monthly Cash Flow'!$B$37:H$37)-(1850*7*0.45)</f>
        <v>307972.5</v>
      </c>
      <c r="K10" s="11" t="n">
        <f aca="false">MAX(0,$B$7-(420*7*0.8))</f>
        <v>11848</v>
      </c>
      <c r="L10" s="11" t="n">
        <f aca="false">G10+H10+I10+$B$4-J10-K10+$B$10*(1+$B$13*(7/12))</f>
        <v>253364.5</v>
      </c>
      <c r="M10" s="6" t="n">
        <f aca="false">120000+(7*3500)</f>
        <v>144500</v>
      </c>
      <c r="N10" s="11" t="n">
        <f aca="false">L10-M10</f>
        <v>108864.5</v>
      </c>
    </row>
    <row r="11" customFormat="false" ht="15" hidden="false" customHeight="false" outlineLevel="0" collapsed="false">
      <c r="A11" s="5" t="s">
        <v>111</v>
      </c>
      <c r="B11" s="6" t="n">
        <v>12000</v>
      </c>
      <c r="C11" s="5" t="s">
        <v>99</v>
      </c>
      <c r="D11" s="5" t="s">
        <v>109</v>
      </c>
      <c r="E11" s="5"/>
      <c r="F11" s="5" t="s">
        <v>9</v>
      </c>
      <c r="G11" s="11" t="n">
        <f aca="false">'Monthly Cash Flow'!I45</f>
        <v>20940</v>
      </c>
      <c r="H11" s="11" t="n">
        <f aca="false">$B$9*(1+$B$13*(8/12))+SUM('Monthly Cash Flow'!$B$34:I$34)</f>
        <v>95440</v>
      </c>
      <c r="I11" s="11" t="n">
        <f aca="false">$B$11*(1+$B$13*(8/12))+SUM('Monthly Cash Flow'!$B$35:I$35)</f>
        <v>14480</v>
      </c>
      <c r="J11" s="11" t="n">
        <f aca="false">$B$5-SUM('Monthly Cash Flow'!$B$37:I$37)-(1850*8*0.45)</f>
        <v>307140</v>
      </c>
      <c r="K11" s="11" t="n">
        <f aca="false">MAX(0,$B$7-(420*8*0.8))</f>
        <v>11512</v>
      </c>
      <c r="L11" s="11" t="n">
        <f aca="false">G11+H11+I11+$B$4-J11-K11+$B$10*(1+$B$13*(8/12))</f>
        <v>257168</v>
      </c>
      <c r="M11" s="6" t="n">
        <f aca="false">120000+(8*3500)</f>
        <v>148000</v>
      </c>
      <c r="N11" s="11" t="n">
        <f aca="false">L11-M11</f>
        <v>109168</v>
      </c>
    </row>
    <row r="12" customFormat="false" ht="15" hidden="false" customHeight="false" outlineLevel="0" collapsed="false">
      <c r="A12" s="5" t="s">
        <v>112</v>
      </c>
      <c r="B12" s="6" t="n">
        <v>12000</v>
      </c>
      <c r="C12" s="5" t="s">
        <v>99</v>
      </c>
      <c r="D12" s="5" t="s">
        <v>113</v>
      </c>
      <c r="E12" s="5"/>
      <c r="F12" s="5" t="s">
        <v>10</v>
      </c>
      <c r="G12" s="11" t="n">
        <f aca="false">'Monthly Cash Flow'!J45</f>
        <v>21825</v>
      </c>
      <c r="H12" s="11" t="n">
        <f aca="false">$B$9*(1+$B$13*(9/12))+SUM('Monthly Cash Flow'!$B$34:J$34)</f>
        <v>96620</v>
      </c>
      <c r="I12" s="11" t="n">
        <f aca="false">$B$11*(1+$B$13*(9/12))+SUM('Monthly Cash Flow'!$B$35:J$35)</f>
        <v>14790</v>
      </c>
      <c r="J12" s="11" t="n">
        <f aca="false">$B$5-SUM('Monthly Cash Flow'!$B$37:J$37)-(1850*9*0.45)</f>
        <v>306107.5</v>
      </c>
      <c r="K12" s="11" t="n">
        <f aca="false">MAX(0,$B$7-(420*9*0.8))</f>
        <v>11176</v>
      </c>
      <c r="L12" s="11" t="n">
        <f aca="false">G12+H12+I12+$B$4-J12-K12+$B$10*(1+$B$13*(9/12))</f>
        <v>261031.5</v>
      </c>
      <c r="M12" s="6" t="n">
        <f aca="false">120000+(9*3500)</f>
        <v>151500</v>
      </c>
      <c r="N12" s="11" t="n">
        <f aca="false">L12-M12</f>
        <v>109531.5</v>
      </c>
    </row>
    <row r="13" customFormat="false" ht="15" hidden="false" customHeight="false" outlineLevel="0" collapsed="false">
      <c r="A13" s="5" t="s">
        <v>114</v>
      </c>
      <c r="B13" s="13" t="n">
        <v>0.06</v>
      </c>
      <c r="C13" s="5" t="s">
        <v>104</v>
      </c>
      <c r="D13" s="5" t="s">
        <v>115</v>
      </c>
      <c r="E13" s="5"/>
      <c r="F13" s="5" t="s">
        <v>11</v>
      </c>
      <c r="G13" s="11" t="n">
        <f aca="false">'Monthly Cash Flow'!K45</f>
        <v>22905</v>
      </c>
      <c r="H13" s="11" t="n">
        <f aca="false">$B$9*(1+$B$13*(10/12))+SUM('Monthly Cash Flow'!$B$34:K$34)</f>
        <v>97800</v>
      </c>
      <c r="I13" s="11" t="n">
        <f aca="false">$B$11*(1+$B$13*(10/12))+SUM('Monthly Cash Flow'!$B$35:K$35)</f>
        <v>15100</v>
      </c>
      <c r="J13" s="11" t="n">
        <f aca="false">$B$5-SUM('Monthly Cash Flow'!$B$37:K$37)-(1850*10*0.45)</f>
        <v>305075</v>
      </c>
      <c r="K13" s="11" t="n">
        <f aca="false">MAX(0,$B$7-(420*10*0.8))</f>
        <v>10840</v>
      </c>
      <c r="L13" s="11" t="n">
        <f aca="false">G13+H13+I13+$B$4-J13-K13+$B$10*(1+$B$13*(10/12))</f>
        <v>265090</v>
      </c>
      <c r="M13" s="6" t="n">
        <f aca="false">120000+(10*3500)</f>
        <v>155000</v>
      </c>
      <c r="N13" s="11" t="n">
        <f aca="false">L13-M13</f>
        <v>110090</v>
      </c>
    </row>
    <row r="14" customFormat="false" ht="15" hidden="false" customHeight="false" outlineLevel="0" collapsed="false">
      <c r="A14" s="5"/>
      <c r="B14" s="5"/>
      <c r="C14" s="5"/>
      <c r="D14" s="5"/>
      <c r="E14" s="5"/>
      <c r="F14" s="5" t="s">
        <v>12</v>
      </c>
      <c r="G14" s="11" t="n">
        <f aca="false">'Monthly Cash Flow'!L45</f>
        <v>23765</v>
      </c>
      <c r="H14" s="11" t="n">
        <f aca="false">$B$9*(1+$B$13*(11/12))+SUM('Monthly Cash Flow'!$B$34:L$34)</f>
        <v>98980</v>
      </c>
      <c r="I14" s="11" t="n">
        <f aca="false">$B$11*(1+$B$13*(11/12))+SUM('Monthly Cash Flow'!$B$35:L$35)</f>
        <v>15410</v>
      </c>
      <c r="J14" s="11" t="n">
        <f aca="false">$B$5-SUM('Monthly Cash Flow'!$B$37:L$37)-(1850*11*0.45)</f>
        <v>304042.5</v>
      </c>
      <c r="K14" s="11" t="n">
        <f aca="false">MAX(0,$B$7-(420*11*0.8))</f>
        <v>10504</v>
      </c>
      <c r="L14" s="11" t="n">
        <f aca="false">G14+H14+I14+$B$4-J14-K14+$B$10*(1+$B$13*(11/12))</f>
        <v>268928.5</v>
      </c>
      <c r="M14" s="6" t="n">
        <f aca="false">120000+(11*3500)</f>
        <v>158500</v>
      </c>
      <c r="N14" s="11" t="n">
        <f aca="false">L14-M14</f>
        <v>110428.5</v>
      </c>
    </row>
    <row r="15" customFormat="false" ht="15" hidden="false" customHeight="false" outlineLevel="0" collapsed="false">
      <c r="A15" s="2" t="s">
        <v>116</v>
      </c>
      <c r="B15" s="2" t="s">
        <v>68</v>
      </c>
      <c r="C15" s="2" t="s">
        <v>117</v>
      </c>
      <c r="D15" s="5"/>
      <c r="E15" s="5"/>
      <c r="F15" s="5" t="s">
        <v>13</v>
      </c>
      <c r="G15" s="11" t="n">
        <f aca="false">'Monthly Cash Flow'!M45</f>
        <v>25860</v>
      </c>
      <c r="H15" s="11" t="n">
        <f aca="false">$B$9*(1+$B$13*(12/12))+SUM('Monthly Cash Flow'!$B$34:M$34)</f>
        <v>100160</v>
      </c>
      <c r="I15" s="11" t="n">
        <f aca="false">$B$11*(1+$B$13*(12/12))+SUM('Monthly Cash Flow'!$B$35:M$35)</f>
        <v>15720</v>
      </c>
      <c r="J15" s="11" t="n">
        <f aca="false">$B$5-SUM('Monthly Cash Flow'!$B$37:M$37)-(1850*12*0.45)</f>
        <v>302710</v>
      </c>
      <c r="K15" s="11" t="n">
        <f aca="false">MAX(0,$B$7-(420*12*0.8))</f>
        <v>10168</v>
      </c>
      <c r="L15" s="11" t="n">
        <f aca="false">G15+H15+I15+$B$4-J15-K15+$B$10*(1+$B$13*(12/12))</f>
        <v>274302</v>
      </c>
      <c r="M15" s="6" t="n">
        <f aca="false">120000+(12*3500)</f>
        <v>162000</v>
      </c>
      <c r="N15" s="11" t="n">
        <f aca="false">L15-M15</f>
        <v>112302</v>
      </c>
    </row>
    <row r="16" customFormat="false" ht="15" hidden="false" customHeight="false" outlineLevel="0" collapsed="false">
      <c r="A16" s="5" t="s">
        <v>118</v>
      </c>
      <c r="B16" s="11" t="n">
        <f aca="false">'Monthly Cash Flow'!N45</f>
        <v>25860</v>
      </c>
      <c r="C16" s="5" t="s">
        <v>119</v>
      </c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</row>
    <row r="17" customFormat="false" ht="15" hidden="false" customHeight="false" outlineLevel="0" collapsed="false">
      <c r="A17" s="5" t="s">
        <v>120</v>
      </c>
      <c r="B17" s="11" t="n">
        <f aca="false">B9*(1+B13)+SUM('Monthly Cash Flow'!B34:M34)</f>
        <v>100160</v>
      </c>
      <c r="C17" s="5" t="s">
        <v>121</v>
      </c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</row>
    <row r="18" customFormat="false" ht="15" hidden="false" customHeight="false" outlineLevel="0" collapsed="false">
      <c r="A18" s="5" t="s">
        <v>122</v>
      </c>
      <c r="B18" s="11" t="n">
        <f aca="false">B10*(1+B13)</f>
        <v>25440</v>
      </c>
      <c r="C18" s="5" t="s">
        <v>123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</row>
    <row r="19" customFormat="false" ht="15" hidden="false" customHeight="false" outlineLevel="0" collapsed="false">
      <c r="A19" s="5" t="s">
        <v>44</v>
      </c>
      <c r="B19" s="11" t="n">
        <f aca="false">B11*(1+B13)+SUM('Monthly Cash Flow'!B35:M35)</f>
        <v>15720</v>
      </c>
      <c r="C19" s="5" t="s">
        <v>121</v>
      </c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</row>
    <row r="20" customFormat="false" ht="15" hidden="false" customHeight="false" outlineLevel="0" collapsed="false">
      <c r="A20" s="5" t="s">
        <v>124</v>
      </c>
      <c r="B20" s="11" t="n">
        <f aca="false">B4</f>
        <v>420000</v>
      </c>
      <c r="C20" s="5" t="s">
        <v>125</v>
      </c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</row>
    <row r="21" customFormat="false" ht="15" hidden="false" customHeight="false" outlineLevel="0" collapsed="false">
      <c r="A21" s="5" t="s">
        <v>126</v>
      </c>
      <c r="B21" s="11" t="n">
        <f aca="false">SUM(B16:B20)</f>
        <v>587180</v>
      </c>
      <c r="C21" s="5" t="s">
        <v>127</v>
      </c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</row>
    <row r="22" customFormat="false" ht="15" hidden="false" customHeight="false" outlineLevel="0" collapsed="false">
      <c r="A22" s="5" t="s">
        <v>128</v>
      </c>
      <c r="B22" s="11" t="n">
        <f aca="false">B5-SUM('Monthly Cash Flow'!B37:M37)-(1850*12*0.45)</f>
        <v>302710</v>
      </c>
      <c r="C22" s="5" t="s">
        <v>129</v>
      </c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</row>
    <row r="23" customFormat="false" ht="15" hidden="false" customHeight="false" outlineLevel="0" collapsed="false">
      <c r="A23" s="5" t="s">
        <v>130</v>
      </c>
      <c r="B23" s="11" t="n">
        <f aca="false">MAX(0,B7-(420*12*0.8))</f>
        <v>10168</v>
      </c>
      <c r="C23" s="5" t="s">
        <v>129</v>
      </c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</row>
    <row r="24" customFormat="false" ht="15" hidden="false" customHeight="false" outlineLevel="0" collapsed="false">
      <c r="A24" s="5" t="s">
        <v>131</v>
      </c>
      <c r="B24" s="11" t="n">
        <f aca="false">SUM(B22:B23)</f>
        <v>312878</v>
      </c>
      <c r="C24" s="5" t="s">
        <v>132</v>
      </c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</row>
    <row r="25" customFormat="false" ht="15" hidden="false" customHeight="false" outlineLevel="0" collapsed="false">
      <c r="A25" s="5" t="s">
        <v>95</v>
      </c>
      <c r="B25" s="11" t="n">
        <f aca="false">B21-B24</f>
        <v>274302</v>
      </c>
      <c r="C25" s="5" t="s">
        <v>133</v>
      </c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</row>
    <row r="26" customFormat="false" ht="15" hidden="false" customHeight="false" outlineLevel="0" collapsed="false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</row>
    <row r="27" customFormat="false" ht="15" hidden="false" customHeight="false" outlineLevel="0" collapsed="false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</row>
    <row r="28" customFormat="false" ht="15" hidden="false" customHeight="false" outlineLevel="0" collapsed="false">
      <c r="A28" s="2" t="s">
        <v>134</v>
      </c>
      <c r="B28" s="2" t="s">
        <v>135</v>
      </c>
      <c r="C28" s="2" t="s">
        <v>136</v>
      </c>
      <c r="D28" s="2" t="s">
        <v>58</v>
      </c>
      <c r="E28" s="5"/>
      <c r="F28" s="5"/>
      <c r="G28" s="5"/>
      <c r="H28" s="5"/>
      <c r="I28" s="5"/>
      <c r="J28" s="5"/>
      <c r="K28" s="5"/>
      <c r="L28" s="5"/>
      <c r="M28" s="5"/>
      <c r="N28" s="5"/>
    </row>
    <row r="29" customFormat="false" ht="15" hidden="false" customHeight="false" outlineLevel="0" collapsed="false">
      <c r="A29" s="5" t="s">
        <v>137</v>
      </c>
      <c r="B29" s="10" t="n">
        <f aca="false">('Monthly Cash Flow'!N21/12)*6</f>
        <v>29650</v>
      </c>
      <c r="C29" s="10" t="n">
        <f aca="false">B16</f>
        <v>25860</v>
      </c>
      <c r="D29" s="5" t="str">
        <f aca="false">IF(C29&gt;=B29,"On Track","Needs Attention")</f>
        <v>Needs Attention</v>
      </c>
      <c r="E29" s="5"/>
      <c r="F29" s="5"/>
      <c r="G29" s="5"/>
      <c r="H29" s="5"/>
      <c r="I29" s="5"/>
      <c r="J29" s="5"/>
      <c r="K29" s="5"/>
      <c r="L29" s="5"/>
      <c r="M29" s="5"/>
      <c r="N29" s="5"/>
    </row>
    <row r="30" customFormat="false" ht="15" hidden="false" customHeight="false" outlineLevel="0" collapsed="false">
      <c r="A30" s="5" t="s">
        <v>138</v>
      </c>
      <c r="B30" s="6" t="n">
        <v>150000</v>
      </c>
      <c r="C30" s="10" t="n">
        <f aca="false">B25</f>
        <v>274302</v>
      </c>
      <c r="D30" s="5" t="str">
        <f aca="false">IF(C30&gt;=B30,"Achieved","In Progress")</f>
        <v>Achieved</v>
      </c>
      <c r="E30" s="5"/>
      <c r="F30" s="5"/>
      <c r="G30" s="5"/>
      <c r="H30" s="5"/>
      <c r="I30" s="5"/>
      <c r="J30" s="5"/>
      <c r="K30" s="5"/>
      <c r="L30" s="5"/>
      <c r="M30" s="5"/>
      <c r="N30" s="5"/>
    </row>
    <row r="31" customFormat="false" ht="15" hidden="false" customHeight="false" outlineLevel="0" collapsed="false">
      <c r="A31" s="5" t="s">
        <v>139</v>
      </c>
      <c r="B31" s="13" t="n">
        <v>0.12</v>
      </c>
      <c r="C31" s="18" t="n">
        <f aca="false">'Monthly Cash Flow'!N31/'Monthly Cash Flow'!N9</f>
        <v>0.137658585037699</v>
      </c>
      <c r="D31" s="5" t="str">
        <f aca="false">IF(C31&lt;=B31,"On Track","Above Target")</f>
        <v>Above Target</v>
      </c>
      <c r="E31" s="5"/>
      <c r="F31" s="5"/>
      <c r="G31" s="5"/>
      <c r="H31" s="5"/>
      <c r="I31" s="5"/>
      <c r="J31" s="5"/>
      <c r="K31" s="5"/>
      <c r="L31" s="5"/>
      <c r="M31" s="5"/>
      <c r="N31" s="5"/>
    </row>
    <row r="32" customFormat="false" ht="15" hidden="false" customHeight="false" outlineLevel="0" collapsed="false">
      <c r="A32" s="5" t="s">
        <v>140</v>
      </c>
      <c r="B32" s="13" t="n">
        <v>0.2</v>
      </c>
      <c r="C32" s="18" t="n">
        <f aca="false">'Monthly Cash Flow'!N40/'Monthly Cash Flow'!N9</f>
        <v>0.201724682829925</v>
      </c>
      <c r="D32" s="5" t="str">
        <f aca="false">IF(C32&gt;=B32,"On Track","Below Target")</f>
        <v>On Track</v>
      </c>
      <c r="E32" s="5"/>
      <c r="F32" s="5"/>
      <c r="G32" s="5"/>
      <c r="H32" s="5"/>
      <c r="I32" s="5"/>
      <c r="J32" s="5"/>
      <c r="K32" s="5"/>
      <c r="L32" s="5"/>
      <c r="M32" s="5"/>
      <c r="N32" s="5"/>
    </row>
  </sheetData>
  <mergeCells count="1">
    <mergeCell ref="A1:N1"/>
  </mergeCells>
  <conditionalFormatting sqref="D29:D32">
    <cfRule type="expression" priority="2" aboveAverage="0" equalAverage="0" bottom="0" percent="0" rank="0" text="" dxfId="3">
      <formula>OR(D29="On Track",D29="Healthy",D29="Achieved")</formula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LibreOffice/7.4.7.2$Linux_X86_64 LibreOffice_project/40$Build-2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:description/>
  <dc:language>en-US</dc:language>
  <cp:lastModifiedBy/>
  <cp:revision>0</cp:revision>
  <dc:subject/>
  <dc:title/>
</cp:coreProperties>
</file>